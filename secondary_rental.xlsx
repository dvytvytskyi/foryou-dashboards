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>
    <definedName hidden="1" localSheetId="0" name="_xlnm._FilterDatabase">'Лист1'!$A$1:$Q$13</definedName>
    <definedName hidden="1" localSheetId="1" name="_xlnm._FilterDatabase">'Лист2'!$A$1:$O$56</definedName>
  </definedNames>
  <calcPr/>
</workbook>
</file>

<file path=xl/sharedStrings.xml><?xml version="1.0" encoding="utf-8"?>
<sst xmlns="http://schemas.openxmlformats.org/spreadsheetml/2006/main" count="822" uniqueCount="256">
  <si>
    <t>Столбец 1</t>
  </si>
  <si>
    <t>Проект</t>
  </si>
  <si>
    <t>Брокер</t>
  </si>
  <si>
    <t>Реферал</t>
  </si>
  <si>
    <t>Тип Сделки</t>
  </si>
  <si>
    <t>Стоимость объекта, AED</t>
  </si>
  <si>
    <t>Комиссия ,%</t>
  </si>
  <si>
    <t>Сумма комиссии, AED</t>
  </si>
  <si>
    <t>Способ получения</t>
  </si>
  <si>
    <t>VAT, AED</t>
  </si>
  <si>
    <t>Комиссия брокера</t>
  </si>
  <si>
    <t>Комиссии реферала, AED</t>
  </si>
  <si>
    <t>Комиссии 5+2+1, AED</t>
  </si>
  <si>
    <t>Комиссия партнера, AED</t>
  </si>
  <si>
    <t>Доход компании, AED</t>
  </si>
  <si>
    <t>Источник лида</t>
  </si>
  <si>
    <t>Комментарии</t>
  </si>
  <si>
    <t>The Pad 608</t>
  </si>
  <si>
    <t>Гульноза</t>
  </si>
  <si>
    <t>Zada tower 617</t>
  </si>
  <si>
    <t>Marina Living (406)</t>
  </si>
  <si>
    <t>Алена</t>
  </si>
  <si>
    <t>-</t>
  </si>
  <si>
    <t>Юля</t>
  </si>
  <si>
    <t>bank transfer</t>
  </si>
  <si>
    <t>Damac Lagoons Malta 1</t>
  </si>
  <si>
    <t>Алена Лучникова</t>
  </si>
  <si>
    <t>Юлия Андреева</t>
  </si>
  <si>
    <t>cash</t>
  </si>
  <si>
    <t>Executive Tower</t>
  </si>
  <si>
    <t>Артем Зубков</t>
  </si>
  <si>
    <t>Вова</t>
  </si>
  <si>
    <t xml:space="preserve">Внутренний лид от Артема Герасимова. Шерили 2% комиссии со вторым брокером. </t>
  </si>
  <si>
    <t>Seven Palm</t>
  </si>
  <si>
    <t>Эля/Оля</t>
  </si>
  <si>
    <t>Реферал от Энтони. В итоге получили 1% комиссии, так как клиент сам рассчитался с партнером</t>
  </si>
  <si>
    <t>Marina Diamonds 6</t>
  </si>
  <si>
    <t>Свита</t>
  </si>
  <si>
    <t>Iman Oxrord 10</t>
  </si>
  <si>
    <t>Личный клиент. Продал с лида с проперти</t>
  </si>
  <si>
    <t>Meraas - Jadeel 2</t>
  </si>
  <si>
    <t>Владимир Салохин</t>
  </si>
  <si>
    <t xml:space="preserve">Личный клиент. Продал с чата в телеграм. </t>
  </si>
  <si>
    <t>Society House</t>
  </si>
  <si>
    <t>Партнеры: СВ, Катя НБД</t>
  </si>
  <si>
    <t>MJL - Jadeel 3</t>
  </si>
  <si>
    <t>Шерили комиссию со стороной продавца. Личный клиент, рекомендация</t>
  </si>
  <si>
    <t>Elevate by Prescott</t>
  </si>
  <si>
    <t>Yamen</t>
  </si>
  <si>
    <t>O2 (SELLER+BUYER)</t>
  </si>
  <si>
    <t>Лид с листинга на property finder</t>
  </si>
  <si>
    <t>Binghatti Emerald</t>
  </si>
  <si>
    <t>Евгений Шапошников</t>
  </si>
  <si>
    <t>transfer</t>
  </si>
  <si>
    <t>Лид с RED.</t>
  </si>
  <si>
    <t>Escan Marina Tower</t>
  </si>
  <si>
    <t>Jumeirah Gate3 (seller)</t>
  </si>
  <si>
    <t>Вторичка</t>
  </si>
  <si>
    <t>Westwood grande</t>
  </si>
  <si>
    <t>Света РОП</t>
  </si>
  <si>
    <t>Личный лид.</t>
  </si>
  <si>
    <t>Peninsula One (Seller)</t>
  </si>
  <si>
    <t xml:space="preserve">  Алена Лучникова</t>
  </si>
  <si>
    <t xml:space="preserve">  Юлия Андреева</t>
  </si>
  <si>
    <t>cheque</t>
  </si>
  <si>
    <t>Reportage villa (seller)</t>
  </si>
  <si>
    <t>Filip Hanchar</t>
  </si>
  <si>
    <t>Cобственный лид (продавец)</t>
  </si>
  <si>
    <t>Rrive Residence (RENT)</t>
  </si>
  <si>
    <t>Ekaterina Spitsyna</t>
  </si>
  <si>
    <t>Аренда</t>
  </si>
  <si>
    <t>Danube Viewz 1/606</t>
  </si>
  <si>
    <t>Личный лид. Закрыта 21.05.25</t>
  </si>
  <si>
    <t>Binghatti Corner</t>
  </si>
  <si>
    <t>Личный лид. Закрыта 04.07.25</t>
  </si>
  <si>
    <t>Opal Gardens</t>
  </si>
  <si>
    <t>Личный лид. Закрыта 08.07..25</t>
  </si>
  <si>
    <t>Личный лид. Закрыта 02.06.25</t>
  </si>
  <si>
    <t>Pearl House 2 (seller)</t>
  </si>
  <si>
    <t>Daniil Nevzorov</t>
  </si>
  <si>
    <t>Личный лид. Закрыта 19.05.25</t>
  </si>
  <si>
    <t>Binghatti Onyx (seller)</t>
  </si>
  <si>
    <t>Marquise Square Tower</t>
  </si>
  <si>
    <t>Личный лид. Закрыта 14.05.25</t>
  </si>
  <si>
    <t xml:space="preserve">Bluewaters Bay </t>
  </si>
  <si>
    <t xml:space="preserve">Bank transfer </t>
  </si>
  <si>
    <t>Личный лид. Закрыта 08.05.25</t>
  </si>
  <si>
    <t>Binghatti House</t>
  </si>
  <si>
    <t>Личный лид. Закрыта 20.05.25</t>
  </si>
  <si>
    <t>LIV Residence</t>
  </si>
  <si>
    <t>Malinin Mikhail</t>
  </si>
  <si>
    <t>Личный лид. Закрыта 09.05.25</t>
  </si>
  <si>
    <t>Berkeley Place</t>
  </si>
  <si>
    <t>Личный лид. Закрыта 10.07.25</t>
  </si>
  <si>
    <t xml:space="preserve">ONE PARK CENTRAL </t>
  </si>
  <si>
    <t>Company's lead. Закрыта 16.06.25</t>
  </si>
  <si>
    <t xml:space="preserve">La Sirene </t>
  </si>
  <si>
    <t xml:space="preserve">Личный лид. </t>
  </si>
  <si>
    <t>Ellington Beach house/609</t>
  </si>
  <si>
    <t>Личный лид. Закрыта 17.06.25</t>
  </si>
  <si>
    <t>Wilton Park Residences 2(studio)</t>
  </si>
  <si>
    <t>Misha Malinin</t>
  </si>
  <si>
    <t xml:space="preserve"> Pantheon Elysee 3/ Studio</t>
  </si>
  <si>
    <t>MAG 505</t>
  </si>
  <si>
    <t>Valeria Bogdanova</t>
  </si>
  <si>
    <t>Личный лид. Закрыта 22/08/2025</t>
  </si>
  <si>
    <t>Palm Jumeirah Fron O</t>
  </si>
  <si>
    <t>Личный лид. Закрыта 07/07/2025</t>
  </si>
  <si>
    <t>Gardenia Bay</t>
  </si>
  <si>
    <t>Александра Паневкина</t>
  </si>
  <si>
    <t>2% + ТОП АП</t>
  </si>
  <si>
    <t>2% - 31000+1550 VAT, ТОП АП - 15000</t>
  </si>
  <si>
    <t>36.800</t>
  </si>
  <si>
    <t>Личный лид. Закрыта 16/07/2025</t>
  </si>
  <si>
    <t>Westwood Grande (studio)</t>
  </si>
  <si>
    <t>Margo/ Nelli</t>
  </si>
  <si>
    <t>Кристина</t>
  </si>
  <si>
    <t>80/20. Закрыта 25/07/2025</t>
  </si>
  <si>
    <t>Bluewaters Bay B7 (unit 1301)</t>
  </si>
  <si>
    <t>Лид компании.  50/50</t>
  </si>
  <si>
    <t>Jomana 5 (Seller)</t>
  </si>
  <si>
    <t>Filip</t>
  </si>
  <si>
    <t>Личный лид. Закрыта 01.09.25</t>
  </si>
  <si>
    <t>Jomana 5 (Buyer)</t>
  </si>
  <si>
    <t>Kozina Ksenia</t>
  </si>
  <si>
    <t>Hadley Heights (Seller)</t>
  </si>
  <si>
    <t>Kamila</t>
  </si>
  <si>
    <t>1.5%</t>
  </si>
  <si>
    <t>cash+bank transfer</t>
  </si>
  <si>
    <t>1387.5</t>
  </si>
  <si>
    <t>Лид компании</t>
  </si>
  <si>
    <t>Лид компании.  50/50. Закрыта 09/02/2026.</t>
  </si>
  <si>
    <t>MAG 505 (Seller, Buyer)</t>
  </si>
  <si>
    <t>Valeria Bogdanova/ Diana R</t>
  </si>
  <si>
    <t>14.000 + 2%</t>
  </si>
  <si>
    <t>Лид компании.  50/50. Закрыта 30.09.25</t>
  </si>
  <si>
    <t>Harrington House (Buyer)</t>
  </si>
  <si>
    <t xml:space="preserve">cash </t>
  </si>
  <si>
    <t>RED's lead. 50/50 Закрыта 23.10.25</t>
  </si>
  <si>
    <t>ELLINGTON HOUSE II, Unit 205 (Seller)</t>
  </si>
  <si>
    <t>Ekaterina Spitsyna/ Daniil Nevzorov</t>
  </si>
  <si>
    <t>30.000</t>
  </si>
  <si>
    <t>24000 (по 12000)</t>
  </si>
  <si>
    <t>80/20. Личный лид Кати, с Даней 50/50. Закрытo 13/10/2025</t>
  </si>
  <si>
    <t>EMAAR Square (Commercial offices)</t>
  </si>
  <si>
    <t>Arsen Ismailov</t>
  </si>
  <si>
    <t>8.33%</t>
  </si>
  <si>
    <t>4373.25</t>
  </si>
  <si>
    <t>80/20. Закрыта 19/09/2025</t>
  </si>
  <si>
    <t>JBR, Shams 1 (rent)</t>
  </si>
  <si>
    <t>2.5%</t>
  </si>
  <si>
    <t>N/A</t>
  </si>
  <si>
    <t>50/50, Закрыта 15/09/2025</t>
  </si>
  <si>
    <t>Bluewaters Building 9</t>
  </si>
  <si>
    <t>65%/35% +3% . Закрытo 25/09/2025</t>
  </si>
  <si>
    <t>Ellington House/303 (rent)</t>
  </si>
  <si>
    <t>50/50. Закрыта 02/10/2025. 5% (2,5% - Получает Агенство т.к. Арендодатель не покрывает вторую сторону</t>
  </si>
  <si>
    <t>Kempinski Residences(rent)</t>
  </si>
  <si>
    <t>28.000</t>
  </si>
  <si>
    <t>14.000</t>
  </si>
  <si>
    <t>50/50/. Личный лид. Закрыта 08/10/2025</t>
  </si>
  <si>
    <t>CONCEPT 7 RESIDENCES, Unit 608</t>
  </si>
  <si>
    <t>Личный лид.80/20</t>
  </si>
  <si>
    <t>LYNX Resicence (studio) Buyer</t>
  </si>
  <si>
    <t xml:space="preserve">Ruslan </t>
  </si>
  <si>
    <t>Лид PF</t>
  </si>
  <si>
    <t>50/50. Закрыта 28/11/2025</t>
  </si>
  <si>
    <t>Prive Residence (rent)</t>
  </si>
  <si>
    <t>Личный лид, 80/20. Закрыта 01/11/2025</t>
  </si>
  <si>
    <t>Mamashelter, (rent studio)</t>
  </si>
  <si>
    <t>Kamilla/Timur</t>
  </si>
  <si>
    <t>1250/1250</t>
  </si>
  <si>
    <t>Лид компании, 50/50. Закрыта 26/10/2025</t>
  </si>
  <si>
    <t>Wadi Al Safa, 7 Rukan 3, L43</t>
  </si>
  <si>
    <t>Лид компании, 50/50. Закрыта 30/10/2025</t>
  </si>
  <si>
    <t>Sunrise Bay tower 2(Buyer)</t>
  </si>
  <si>
    <t>Ереван</t>
  </si>
  <si>
    <t>88/12, Закрыла 13.02.2026</t>
  </si>
  <si>
    <t>Peace Lagoons/A424 (studio)</t>
  </si>
  <si>
    <t>собственный лид</t>
  </si>
  <si>
    <t>80/20. Личный лид Кати</t>
  </si>
  <si>
    <t>One Za’abeel the residences</t>
  </si>
  <si>
    <t>Артем Герасимов</t>
  </si>
  <si>
    <t>Лид компании, 50/50. Закрыта 13/11/2025</t>
  </si>
  <si>
    <t>Ellington House II (Buyer)</t>
  </si>
  <si>
    <t>Diana Rustam /Valeria B</t>
  </si>
  <si>
    <t>2%(50/50 with another agent)</t>
  </si>
  <si>
    <t xml:space="preserve">лид Артема </t>
  </si>
  <si>
    <t>Marsa Dubai / Marina Diamond 4 / Unit 401</t>
  </si>
  <si>
    <t>Radik</t>
  </si>
  <si>
    <t>Никита Дьяков</t>
  </si>
  <si>
    <t>лид Никиты, Закрыта 02/02/2026</t>
  </si>
  <si>
    <t>The Community (1BR) A-F</t>
  </si>
  <si>
    <t>80/20. Закрыта 10/12/2025</t>
  </si>
  <si>
    <t>Rosewater Creek Beach (Buyer)</t>
  </si>
  <si>
    <t>Банк</t>
  </si>
  <si>
    <t>Банковский Лид (15%,) Закрыта 27/11/2025</t>
  </si>
  <si>
    <t>Jumeirah Business Centre 1 / 3403</t>
  </si>
  <si>
    <t>Tim/Radik</t>
  </si>
  <si>
    <t>110000+30000 (TOP UP)</t>
  </si>
  <si>
    <t xml:space="preserve">80/20. Личный лид </t>
  </si>
  <si>
    <t>Jumeirah Gate Tower 2</t>
  </si>
  <si>
    <t>Закрыта 18/12/2025. 90/10</t>
  </si>
  <si>
    <t>ADDRESS HARBOUR POINT TOWER 2, Unit 3305.</t>
  </si>
  <si>
    <t>Daniil/ Kamila</t>
  </si>
  <si>
    <t>60/40. Закрыта 26/12/2025</t>
  </si>
  <si>
    <t>80/20 лид Дани. Закрыта 26/12/2025</t>
  </si>
  <si>
    <t>Luxury Family Residence 1BR</t>
  </si>
  <si>
    <t>Kamilla</t>
  </si>
  <si>
    <t>Address Residences/ 208 (Buyer) 1BR</t>
  </si>
  <si>
    <t xml:space="preserve">88/12. Закрыта </t>
  </si>
  <si>
    <t>Emirates Gardens 1 -R2</t>
  </si>
  <si>
    <t xml:space="preserve">Diana Rustam </t>
  </si>
  <si>
    <t>Лид компании, 50/50. Закрыта 15/11/2025</t>
  </si>
  <si>
    <t>The Point Tower, 2501</t>
  </si>
  <si>
    <t>Irina Filimonova/ Radik</t>
  </si>
  <si>
    <t>По 14,285 (Радик, Ира)</t>
  </si>
  <si>
    <t>28,572.86</t>
  </si>
  <si>
    <t>Лид RED</t>
  </si>
  <si>
    <t>Лид компании. 50/50. Закрыто 10/04/2026</t>
  </si>
  <si>
    <t>Jomana 7/ 407 (1BR)</t>
  </si>
  <si>
    <t xml:space="preserve">Собственный  лид </t>
  </si>
  <si>
    <t>Собственный лид, 80/20, Закрыта 11.02.2026</t>
  </si>
  <si>
    <t>BayGrove Residences C, 1003 apt Blg 9</t>
  </si>
  <si>
    <t>Лид Utube</t>
  </si>
  <si>
    <t>Лид Utube, брокер 33%, компания 12%, Юрий 50%.</t>
  </si>
  <si>
    <t>Chic Tower, Unit 2808</t>
  </si>
  <si>
    <t>Anastasia Khramova</t>
  </si>
  <si>
    <t>Собственный лид</t>
  </si>
  <si>
    <t>Собственный лид, Закрыта 23.02.2026</t>
  </si>
  <si>
    <t>The Arthouse BR11 01 02</t>
  </si>
  <si>
    <t>Hadi</t>
  </si>
  <si>
    <t>Gulnoza</t>
  </si>
  <si>
    <t>6,526,000</t>
  </si>
  <si>
    <t>Собственный лид. Закрыта 13.02.2026, 25% Гульноза</t>
  </si>
  <si>
    <t>AL GHURAIR Residense  unit 213</t>
  </si>
  <si>
    <t xml:space="preserve"> </t>
  </si>
  <si>
    <t>Закрыта 25.02.2026.Обе стороны платят комиссию по 5000+250 vat .Одна личный лид, другая лид компании</t>
  </si>
  <si>
    <t>Ellington House 3/206 (1BR)</t>
  </si>
  <si>
    <t>Лид компании. 50/50. Закрыто 26.03.2026</t>
  </si>
  <si>
    <t>Bonnington tower hotel/2406</t>
  </si>
  <si>
    <t>Личный лид</t>
  </si>
  <si>
    <t>Wadi Al Safa 3, plot 611</t>
  </si>
  <si>
    <t>Daniil Nevzorov/ Diana Rustam</t>
  </si>
  <si>
    <t>80/20</t>
  </si>
  <si>
    <t>Um Suqaim Third, Elara 3/705</t>
  </si>
  <si>
    <t>3,633,000</t>
  </si>
  <si>
    <t>10.000</t>
  </si>
  <si>
    <t>Madinat Jumeirah Living Al Jazi</t>
  </si>
  <si>
    <t>Ekaterina Spytsina</t>
  </si>
  <si>
    <t>40/60%</t>
  </si>
  <si>
    <t>MJL, Building Lamaa, unit 507</t>
  </si>
  <si>
    <t>аренда</t>
  </si>
  <si>
    <t>Kristina+Yana</t>
  </si>
  <si>
    <t>Peninsula Three/22-15</t>
  </si>
  <si>
    <t>Anastasia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</si>
</sst>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.MM.yyyy"/>
    <numFmt numFmtId="165" formatCode="d.m.yyyy"/>
    <numFmt numFmtId="166" formatCode="#,##0_);(#,##0)"/>
    <numFmt numFmtId="167" formatCode="d.m"/>
    <numFmt numFmtId="168" formatCode="yyyy.m"/>
    <numFmt numFmtId="169" formatCode="dd/mm/yyyy"/>
    <numFmt numFmtId="170" formatCode="dd/mm/yy"/>
    <numFmt numFmtId="171" formatCode="dd.mm.yyyy"/>
    <numFmt numFmtId="172" formatCode="dd.mm.yy"/>
    <numFmt numFmtId="173" formatCode="d/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434343"/>
      <name val="Arial"/>
    </font>
    <font>
      <color theme="1"/>
      <name val="Arial"/>
    </font>
    <font>
      <color theme="1"/>
      <name val="Roboto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sz val="10.0"/>
      <color rgb="FF000000"/>
      <name val="Arial"/>
    </font>
    <font>
      <sz val="11.0"/>
      <color rgb="FF000000"/>
      <name val="'Source Sans Pro'"/>
    </font>
    <font>
      <sz val="1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4" xfId="0" applyAlignment="1" applyBorder="1" applyFont="1" applyNumberFormat="1">
      <alignment horizontal="left"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0" fontId="1" numFmtId="3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1" fillId="2" fontId="2" numFmtId="164" xfId="0" applyAlignment="1" applyBorder="1" applyFill="1" applyFont="1" applyNumberFormat="1">
      <alignment horizontal="right" shrinkToFit="0" wrapText="0"/>
    </xf>
    <xf borderId="1" fillId="2" fontId="2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0" fontId="1" numFmtId="166" xfId="0" applyAlignment="1" applyBorder="1" applyFont="1" applyNumberFormat="1">
      <alignment horizontal="right" readingOrder="0"/>
    </xf>
    <xf borderId="1" fillId="3" fontId="4" numFmtId="0" xfId="0" applyAlignment="1" applyBorder="1" applyFont="1">
      <alignment readingOrder="0"/>
    </xf>
    <xf borderId="1" fillId="2" fontId="2" numFmtId="3" xfId="0" applyAlignment="1" applyBorder="1" applyFont="1" applyNumberFormat="1">
      <alignment horizontal="right" shrinkToFit="0" wrapText="0"/>
    </xf>
    <xf borderId="1" fillId="2" fontId="2" numFmtId="0" xfId="0" applyAlignment="1" applyBorder="1" applyFont="1">
      <alignment horizontal="right" readingOrder="0" shrinkToFit="0" wrapText="0"/>
    </xf>
    <xf borderId="1" fillId="2" fontId="4" numFmtId="0" xfId="0" applyAlignment="1" applyBorder="1" applyFont="1">
      <alignment readingOrder="0"/>
    </xf>
    <xf borderId="1" fillId="2" fontId="4" numFmtId="4" xfId="0" applyBorder="1" applyFont="1" applyNumberFormat="1"/>
    <xf borderId="1" fillId="3" fontId="3" numFmtId="3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1" fillId="2" fontId="4" numFmtId="0" xfId="0" applyBorder="1" applyFont="1"/>
    <xf borderId="0" fillId="0" fontId="4" numFmtId="0" xfId="0" applyAlignment="1" applyFont="1">
      <alignment vertical="bottom"/>
    </xf>
    <xf borderId="1" fillId="2" fontId="2" numFmtId="164" xfId="0" applyAlignment="1" applyBorder="1" applyFont="1" applyNumberFormat="1">
      <alignment horizontal="right" readingOrder="0" shrinkToFit="0" wrapText="0"/>
    </xf>
    <xf borderId="1" fillId="2" fontId="2" numFmtId="0" xfId="0" applyAlignment="1" applyBorder="1" applyFont="1">
      <alignment readingOrder="0" shrinkToFit="0" wrapText="0"/>
    </xf>
    <xf borderId="1" fillId="2" fontId="2" numFmtId="3" xfId="0" applyAlignment="1" applyBorder="1" applyFont="1" applyNumberFormat="1">
      <alignment horizontal="righ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3" fontId="3" numFmtId="3" xfId="0" applyAlignment="1" applyBorder="1" applyFont="1" applyNumberForma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0" fillId="2" fontId="4" numFmtId="0" xfId="0" applyFont="1"/>
    <xf borderId="1" fillId="4" fontId="2" numFmtId="164" xfId="0" applyAlignment="1" applyBorder="1" applyFill="1" applyFont="1" applyNumberFormat="1">
      <alignment horizontal="right" readingOrder="0" shrinkToFit="0" wrapText="0"/>
    </xf>
    <xf borderId="1" fillId="4" fontId="5" numFmtId="0" xfId="0" applyAlignment="1" applyBorder="1" applyFont="1">
      <alignment readingOrder="0" shrinkToFit="0" wrapText="0"/>
    </xf>
    <xf borderId="1" fillId="4" fontId="5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readingOrder="0"/>
    </xf>
    <xf borderId="1" fillId="4" fontId="5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1" fillId="4" fontId="1" numFmtId="164" xfId="0" applyAlignment="1" applyBorder="1" applyFont="1" applyNumberForma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left" readingOrder="0"/>
    </xf>
    <xf borderId="1" fillId="0" fontId="1" numFmtId="166" xfId="0" applyAlignment="1" applyBorder="1" applyFont="1" applyNumberFormat="1">
      <alignment horizontal="right" readingOrder="0"/>
    </xf>
    <xf borderId="1" fillId="0" fontId="1" numFmtId="3" xfId="0" applyAlignment="1" applyBorder="1" applyFont="1" applyNumberFormat="1">
      <alignment readingOrder="0"/>
    </xf>
    <xf borderId="1" fillId="0" fontId="1" numFmtId="0" xfId="0" applyBorder="1" applyFont="1"/>
    <xf borderId="1" fillId="0" fontId="1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1" numFmtId="166" xfId="0" applyAlignment="1" applyBorder="1" applyFont="1" applyNumberFormat="1">
      <alignment horizontal="right" readingOrder="0"/>
    </xf>
    <xf borderId="1" fillId="3" fontId="1" numFmtId="3" xfId="0" applyAlignment="1" applyBorder="1" applyFont="1" applyNumberFormat="1">
      <alignment readingOrder="0"/>
    </xf>
    <xf borderId="1" fillId="3" fontId="1" numFmtId="0" xfId="0" applyBorder="1" applyFont="1"/>
    <xf borderId="1" fillId="3" fontId="4" numFmtId="0" xfId="0" applyBorder="1" applyFont="1"/>
    <xf borderId="1" fillId="3" fontId="3" numFmtId="3" xfId="0" applyAlignment="1" applyBorder="1" applyFont="1" applyNumberForma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0" fillId="4" fontId="6" numFmtId="0" xfId="0" applyAlignment="1" applyFont="1">
      <alignment readingOrder="0"/>
    </xf>
    <xf borderId="0" fillId="4" fontId="1" numFmtId="0" xfId="0" applyAlignment="1" applyFont="1">
      <alignment readingOrder="0"/>
    </xf>
    <xf borderId="1" fillId="0" fontId="1" numFmtId="3" xfId="0" applyBorder="1" applyFont="1" applyNumberFormat="1"/>
    <xf borderId="1" fillId="4" fontId="4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readingOrder="0"/>
    </xf>
    <xf borderId="1" fillId="0" fontId="1" numFmtId="0" xfId="0" applyAlignment="1" applyBorder="1" applyFont="1">
      <alignment readingOrder="0" shrinkToFit="0" wrapText="1"/>
    </xf>
    <xf borderId="1" fillId="3" fontId="8" numFmtId="4" xfId="0" applyAlignment="1" applyBorder="1" applyFont="1" applyNumberFormat="1">
      <alignment horizontal="center" readingOrder="0" vertical="bottom"/>
    </xf>
    <xf borderId="1" fillId="0" fontId="1" numFmtId="9" xfId="0" applyAlignment="1" applyBorder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horizontal="center"/>
    </xf>
    <xf borderId="1" fillId="4" fontId="6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4" fontId="9" numFmtId="0" xfId="0" applyAlignment="1" applyBorder="1" applyFont="1">
      <alignment readingOrder="0"/>
    </xf>
    <xf borderId="0" fillId="4" fontId="10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readingOrder="0"/>
    </xf>
    <xf borderId="1" fillId="3" fontId="9" numFmtId="0" xfId="0" applyAlignment="1" applyBorder="1" applyFont="1">
      <alignment readingOrder="0"/>
    </xf>
    <xf borderId="1" fillId="4" fontId="4" numFmtId="0" xfId="0" applyAlignment="1" applyBorder="1" applyFont="1">
      <alignment horizontal="left" readingOrder="0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1" fillId="0" fontId="1" numFmtId="166" xfId="0" applyAlignment="1" applyBorder="1" applyFont="1" applyNumberFormat="1">
      <alignment horizontal="right"/>
    </xf>
    <xf borderId="1" fillId="0" fontId="1" numFmtId="164" xfId="0" applyBorder="1" applyFont="1" applyNumberFormat="1"/>
    <xf borderId="1" fillId="0" fontId="1" numFmtId="166" xfId="0" applyBorder="1" applyFont="1" applyNumberFormat="1"/>
    <xf borderId="0" fillId="3" fontId="11" numFmtId="0" xfId="0" applyFont="1"/>
    <xf borderId="0" fillId="0" fontId="1" numFmtId="164" xfId="0" applyFont="1" applyNumberFormat="1"/>
    <xf borderId="0" fillId="0" fontId="1" numFmtId="166" xfId="0" applyFont="1" applyNumberFormat="1"/>
    <xf borderId="0" fillId="0" fontId="1" numFmtId="3" xfId="0" applyFont="1" applyNumberFormat="1"/>
    <xf borderId="0" fillId="4" fontId="2" numFmtId="169" xfId="0" applyAlignment="1" applyFont="1" applyNumberFormat="1">
      <alignment horizontal="right" readingOrder="0" shrinkToFit="0" wrapText="0"/>
    </xf>
    <xf borderId="0" fillId="4" fontId="5" numFmtId="0" xfId="0" applyAlignment="1" applyFont="1">
      <alignment readingOrder="0" shrinkToFit="0" wrapText="0"/>
    </xf>
    <xf borderId="0" fillId="4" fontId="5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right" readingOrder="0"/>
    </xf>
    <xf borderId="0" fillId="3" fontId="4" numFmtId="0" xfId="0" applyAlignment="1" applyFont="1">
      <alignment readingOrder="0"/>
    </xf>
    <xf borderId="0" fillId="2" fontId="2" numFmtId="3" xfId="0" applyAlignment="1" applyFont="1" applyNumberFormat="1">
      <alignment horizontal="right" readingOrder="0" shrinkToFit="0" wrapText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right" readingOrder="0" shrinkToFit="0" wrapText="0"/>
    </xf>
    <xf borderId="0" fillId="3" fontId="3" numFmtId="3" xfId="0" applyAlignment="1" applyFont="1" applyNumberFormat="1">
      <alignment horizontal="center" readingOrder="0" shrinkToFit="0" wrapText="0"/>
    </xf>
    <xf borderId="1" fillId="4" fontId="2" numFmtId="169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readingOrder="0"/>
    </xf>
    <xf borderId="1" fillId="3" fontId="2" numFmtId="3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2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1" numFmtId="166" xfId="0" applyAlignment="1" applyBorder="1" applyFont="1" applyNumberFormat="1">
      <alignment horizontal="right" readingOrder="0"/>
    </xf>
    <xf borderId="1" fillId="2" fontId="4" numFmtId="0" xfId="0" applyAlignment="1" applyBorder="1" applyFont="1">
      <alignment readingOrder="0"/>
    </xf>
    <xf borderId="1" fillId="2" fontId="2" numFmtId="3" xfId="0" applyAlignment="1" applyBorder="1" applyFont="1" applyNumberFormat="1">
      <alignment horizontal="right" readingOrder="0" shrinkToFit="0" wrapText="0"/>
    </xf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horizontal="right" readingOrder="0" shrinkToFit="0" wrapText="0"/>
    </xf>
    <xf borderId="1" fillId="2" fontId="4" numFmtId="0" xfId="0" applyBorder="1" applyFont="1"/>
    <xf borderId="1" fillId="2" fontId="3" numFmtId="3" xfId="0" applyAlignment="1" applyBorder="1" applyFont="1" applyNumberFormat="1">
      <alignment horizontal="center" readingOrder="0" shrinkToFit="0" wrapText="0"/>
    </xf>
    <xf borderId="1" fillId="4" fontId="2" numFmtId="170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right" readingOrder="0"/>
    </xf>
    <xf borderId="1" fillId="4" fontId="1" numFmtId="171" xfId="0" applyAlignment="1" applyBorder="1" applyFont="1" applyNumberFormat="1">
      <alignment readingOrder="0"/>
    </xf>
    <xf borderId="1" fillId="4" fontId="1" numFmtId="172" xfId="0" applyAlignment="1" applyBorder="1" applyFont="1" applyNumberFormat="1">
      <alignment readingOrder="0"/>
    </xf>
    <xf borderId="1" fillId="4" fontId="1" numFmtId="170" xfId="0" applyAlignment="1" applyBorder="1" applyFont="1" applyNumberFormat="1">
      <alignment readingOrder="0"/>
    </xf>
    <xf borderId="1" fillId="4" fontId="1" numFmtId="169" xfId="0" applyAlignment="1" applyBorder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1" fillId="4" fontId="1" numFmtId="173" xfId="0" applyAlignment="1" applyBorder="1" applyFont="1" applyNumberFormat="1">
      <alignment readingOrder="0"/>
    </xf>
    <xf borderId="1" fillId="4" fontId="1" numFmtId="165" xfId="0" applyAlignment="1" applyBorder="1" applyFont="1" applyNumberFormat="1">
      <alignment readingOrder="0"/>
    </xf>
    <xf borderId="1" fillId="0" fontId="1" numFmtId="173" xfId="0" applyAlignment="1" applyBorder="1" applyFont="1" applyNumberForma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Лист1-style 2"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3" displayName="Таблица1" name="Таблица1" id="1">
  <autoFilter ref="$A$1:$Q$13"/>
  <tableColumns count="17">
    <tableColumn name="Столбец 1" id="1"/>
    <tableColumn name="Проект" id="2"/>
    <tableColumn name="Брокер" id="3"/>
    <tableColumn name="Реферал" id="4"/>
    <tableColumn name="Тип Сделки" id="5"/>
    <tableColumn name="Стоимость объекта, AED" id="6"/>
    <tableColumn name="Комиссия ,%" id="7"/>
    <tableColumn name="Сумма комиссии, AED" id="8"/>
    <tableColumn name="Способ получения" id="9"/>
    <tableColumn name="VAT, AED" id="10"/>
    <tableColumn name="Комиссия брокера" id="11"/>
    <tableColumn name="Комиссии реферала, AED" id="12"/>
    <tableColumn name="Комиссии 5+2+1, AED" id="13"/>
    <tableColumn name="Комиссия партнера, AED" id="14"/>
    <tableColumn name="Доход компании, AED" id="15"/>
    <tableColumn name="Источник лида" id="16"/>
    <tableColumn name="Комментарии" id="17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R20" displayName="Table_1" name="Table_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2.25"/>
    <col customWidth="1" min="3" max="3" width="21.75"/>
    <col customWidth="1" min="4" max="4" width="16.88"/>
    <col customWidth="1" min="5" max="5" width="13.25"/>
    <col customWidth="1" min="6" max="6" width="17.0"/>
    <col customWidth="1" min="7" max="7" width="22.75"/>
    <col customWidth="1" min="8" max="8" width="21.25"/>
    <col customWidth="1" min="9" max="9" width="19.0"/>
    <col customWidth="1" min="10" max="10" width="11.0"/>
    <col customWidth="1" min="11" max="11" width="20.5"/>
    <col customWidth="1" min="12" max="12" width="22.13"/>
    <col customWidth="1" min="13" max="13" width="19.88"/>
    <col customWidth="1" min="14" max="14" width="18.88"/>
    <col customWidth="1" min="15" max="16" width="22.38"/>
    <col customWidth="1" min="17" max="17" width="70.0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5" t="s">
        <v>10</v>
      </c>
      <c r="L1" s="8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</row>
    <row r="2" ht="22.5" customHeight="1">
      <c r="A2" s="9">
        <v>45533.0</v>
      </c>
      <c r="B2" s="10" t="s">
        <v>17</v>
      </c>
      <c r="C2" s="10" t="s">
        <v>18</v>
      </c>
      <c r="D2" s="10"/>
      <c r="E2" s="10"/>
      <c r="F2" s="11">
        <v>1425000.0</v>
      </c>
      <c r="G2" s="10">
        <v>1.0</v>
      </c>
      <c r="H2" s="12">
        <v>14250.0</v>
      </c>
      <c r="I2" s="10"/>
      <c r="J2" s="13"/>
      <c r="K2" s="13"/>
      <c r="L2" s="10"/>
      <c r="M2" s="10"/>
      <c r="N2" s="13"/>
      <c r="O2" s="12">
        <v>14725.0</v>
      </c>
      <c r="P2" s="10"/>
      <c r="Q2" s="10"/>
    </row>
    <row r="3" ht="22.5" customHeight="1">
      <c r="A3" s="9">
        <v>45379.0</v>
      </c>
      <c r="B3" s="10" t="s">
        <v>19</v>
      </c>
      <c r="C3" s="10" t="s">
        <v>18</v>
      </c>
      <c r="D3" s="10"/>
      <c r="E3" s="10"/>
      <c r="F3" s="11">
        <v>980000.0</v>
      </c>
      <c r="G3" s="10">
        <v>1.0</v>
      </c>
      <c r="H3" s="12">
        <v>14250.0</v>
      </c>
      <c r="I3" s="10"/>
      <c r="J3" s="13"/>
      <c r="K3" s="13"/>
      <c r="L3" s="10"/>
      <c r="M3" s="10"/>
      <c r="N3" s="13"/>
      <c r="O3" s="12">
        <v>9800.0</v>
      </c>
      <c r="P3" s="10"/>
      <c r="Q3" s="10"/>
    </row>
    <row r="4" ht="22.5" customHeight="1">
      <c r="A4" s="9">
        <v>45574.0</v>
      </c>
      <c r="B4" s="10" t="s">
        <v>20</v>
      </c>
      <c r="C4" s="10" t="s">
        <v>21</v>
      </c>
      <c r="D4" s="10" t="s">
        <v>22</v>
      </c>
      <c r="E4" s="10" t="s">
        <v>23</v>
      </c>
      <c r="F4" s="11">
        <v>2444000.0</v>
      </c>
      <c r="G4" s="10">
        <v>1.95</v>
      </c>
      <c r="H4" s="14">
        <f>Таблица1[Стоимость объекта, AED]*Таблица1[Комиссия ,%]/100</f>
        <v>47658</v>
      </c>
      <c r="I4" s="10" t="s">
        <v>24</v>
      </c>
      <c r="J4" s="13"/>
      <c r="K4" s="13">
        <f t="shared" ref="K4:K5" si="1">H4*0.83</f>
        <v>39556.14</v>
      </c>
      <c r="L4" s="13"/>
      <c r="M4" s="13">
        <f>H4*0.05</f>
        <v>2382.9</v>
      </c>
      <c r="N4" s="13"/>
      <c r="O4" s="14">
        <f>H4-K4-L4-M4-N4</f>
        <v>5718.96</v>
      </c>
      <c r="P4" s="13"/>
      <c r="Q4" s="13"/>
    </row>
    <row r="5" ht="22.5" customHeight="1">
      <c r="A5" s="9">
        <v>45687.0</v>
      </c>
      <c r="B5" s="10" t="s">
        <v>25</v>
      </c>
      <c r="C5" s="10" t="s">
        <v>26</v>
      </c>
      <c r="D5" s="10" t="s">
        <v>27</v>
      </c>
      <c r="E5" s="13"/>
      <c r="F5" s="11">
        <v>2100000.0</v>
      </c>
      <c r="G5" s="10">
        <v>1.5</v>
      </c>
      <c r="H5" s="14">
        <f>Таблица1[Стоимость объекта, AED]*Таблица1[Комиссия ,%]/100</f>
        <v>31500</v>
      </c>
      <c r="I5" s="10" t="s">
        <v>28</v>
      </c>
      <c r="J5" s="13"/>
      <c r="K5" s="13">
        <f t="shared" si="1"/>
        <v>26145</v>
      </c>
      <c r="L5" s="13">
        <f>H5*0.01</f>
        <v>315</v>
      </c>
      <c r="M5" s="13"/>
      <c r="N5" s="13"/>
      <c r="O5" s="14">
        <f>H5-K5-L5</f>
        <v>5040</v>
      </c>
      <c r="P5" s="13"/>
      <c r="Q5" s="10"/>
    </row>
    <row r="6" ht="22.5" customHeight="1">
      <c r="A6" s="9">
        <v>45567.0</v>
      </c>
      <c r="B6" s="10" t="s">
        <v>29</v>
      </c>
      <c r="C6" s="10" t="s">
        <v>30</v>
      </c>
      <c r="D6" s="10" t="s">
        <v>22</v>
      </c>
      <c r="E6" s="10" t="s">
        <v>31</v>
      </c>
      <c r="F6" s="11">
        <v>1425000.0</v>
      </c>
      <c r="G6" s="10">
        <v>1.0</v>
      </c>
      <c r="H6" s="14">
        <f>Таблица1[Стоимость объекта, AED]*Таблица1[Комиссия ,%]/100</f>
        <v>14250</v>
      </c>
      <c r="I6" s="10" t="s">
        <v>28</v>
      </c>
      <c r="J6" s="13"/>
      <c r="K6" s="13">
        <f>H6*0.5</f>
        <v>7125</v>
      </c>
      <c r="L6" s="10">
        <v>0.0</v>
      </c>
      <c r="M6" s="13">
        <f>(H6*0.1)</f>
        <v>1425</v>
      </c>
      <c r="N6" s="13"/>
      <c r="O6" s="14">
        <f t="shared" ref="O6:O9" si="2">H6-K6-L6-M6-N6</f>
        <v>5700</v>
      </c>
      <c r="P6" s="13"/>
      <c r="Q6" s="10" t="s">
        <v>32</v>
      </c>
    </row>
    <row r="7" ht="22.5" customHeight="1">
      <c r="A7" s="9">
        <v>45575.0</v>
      </c>
      <c r="B7" s="10" t="s">
        <v>33</v>
      </c>
      <c r="C7" s="10" t="s">
        <v>30</v>
      </c>
      <c r="D7" s="10" t="s">
        <v>34</v>
      </c>
      <c r="E7" s="10" t="s">
        <v>31</v>
      </c>
      <c r="F7" s="11">
        <v>1950000.0</v>
      </c>
      <c r="G7" s="10">
        <v>2.0</v>
      </c>
      <c r="H7" s="14">
        <f>Таблица1[Стоимость объекта, AED]*Таблица1[Комиссия ,%]/100</f>
        <v>39000</v>
      </c>
      <c r="I7" s="10" t="s">
        <v>28</v>
      </c>
      <c r="J7" s="13"/>
      <c r="K7" s="13">
        <f>(H7-N7)/2</f>
        <v>9750</v>
      </c>
      <c r="L7" s="10">
        <v>1950.0</v>
      </c>
      <c r="M7" s="10">
        <v>1950.0</v>
      </c>
      <c r="N7" s="13">
        <f>H7*0.5</f>
        <v>19500</v>
      </c>
      <c r="O7" s="14">
        <f t="shared" si="2"/>
        <v>5850</v>
      </c>
      <c r="P7" s="13"/>
      <c r="Q7" s="10" t="s">
        <v>35</v>
      </c>
    </row>
    <row r="8" ht="22.5" customHeight="1">
      <c r="A8" s="9">
        <v>45575.0</v>
      </c>
      <c r="B8" s="10" t="s">
        <v>36</v>
      </c>
      <c r="C8" s="10" t="s">
        <v>18</v>
      </c>
      <c r="D8" s="10" t="s">
        <v>37</v>
      </c>
      <c r="E8" s="10"/>
      <c r="F8" s="11">
        <v>1050000.0</v>
      </c>
      <c r="G8" s="10">
        <v>1.0</v>
      </c>
      <c r="H8" s="14">
        <f>Таблица1[Стоимость объекта, AED]*Таблица1[Комиссия ,%]/100</f>
        <v>10500</v>
      </c>
      <c r="I8" s="13"/>
      <c r="J8" s="13"/>
      <c r="K8" s="13"/>
      <c r="L8" s="10"/>
      <c r="M8" s="10"/>
      <c r="N8" s="13"/>
      <c r="O8" s="14">
        <f t="shared" si="2"/>
        <v>10500</v>
      </c>
      <c r="P8" s="13"/>
      <c r="Q8" s="10"/>
    </row>
    <row r="9" ht="22.5" customHeight="1">
      <c r="A9" s="15">
        <v>45607.0</v>
      </c>
      <c r="B9" s="16" t="s">
        <v>38</v>
      </c>
      <c r="C9" s="16" t="s">
        <v>30</v>
      </c>
      <c r="D9" s="17"/>
      <c r="E9" s="16" t="s">
        <v>31</v>
      </c>
      <c r="F9" s="11">
        <v>1200000.0</v>
      </c>
      <c r="G9" s="16">
        <v>2.0</v>
      </c>
      <c r="H9" s="18">
        <f>Таблица1[Стоимость объекта, AED]*Таблица1[Комиссия ,%]/100</f>
        <v>24000</v>
      </c>
      <c r="I9" s="10" t="s">
        <v>28</v>
      </c>
      <c r="J9" s="17"/>
      <c r="K9" s="17">
        <f t="shared" ref="K9:K13" si="3">H9*0.83</f>
        <v>19920</v>
      </c>
      <c r="L9" s="17"/>
      <c r="M9" s="17">
        <f>H9*0.05</f>
        <v>1200</v>
      </c>
      <c r="N9" s="16"/>
      <c r="O9" s="14">
        <f t="shared" si="2"/>
        <v>2880</v>
      </c>
      <c r="P9" s="13"/>
      <c r="Q9" s="10" t="s">
        <v>39</v>
      </c>
    </row>
    <row r="10" ht="22.5" customHeight="1">
      <c r="A10" s="15">
        <v>45659.0</v>
      </c>
      <c r="B10" s="16" t="s">
        <v>40</v>
      </c>
      <c r="C10" s="16" t="s">
        <v>41</v>
      </c>
      <c r="D10" s="17"/>
      <c r="E10" s="17"/>
      <c r="F10" s="11">
        <v>1950000.0</v>
      </c>
      <c r="G10" s="16">
        <v>2.0</v>
      </c>
      <c r="H10" s="18">
        <f>Таблица1[Стоимость объекта, AED]*Таблица1[Комиссия ,%]/100</f>
        <v>39000</v>
      </c>
      <c r="I10" s="10" t="s">
        <v>28</v>
      </c>
      <c r="J10" s="17"/>
      <c r="K10" s="17">
        <f t="shared" si="3"/>
        <v>32370</v>
      </c>
      <c r="L10" s="17"/>
      <c r="M10" s="17"/>
      <c r="N10" s="17"/>
      <c r="O10" s="14">
        <f t="shared" ref="O10:O12" si="4">H10-K10</f>
        <v>6630</v>
      </c>
      <c r="P10" s="13"/>
      <c r="Q10" s="10" t="s">
        <v>42</v>
      </c>
    </row>
    <row r="11" ht="22.5" customHeight="1">
      <c r="A11" s="9">
        <v>45673.0</v>
      </c>
      <c r="B11" s="10" t="s">
        <v>43</v>
      </c>
      <c r="C11" s="10" t="s">
        <v>18</v>
      </c>
      <c r="D11" s="13"/>
      <c r="E11" s="13"/>
      <c r="F11" s="11">
        <v>2000000.0</v>
      </c>
      <c r="G11" s="10">
        <v>4.0</v>
      </c>
      <c r="H11" s="14">
        <f>Таблица1[Стоимость объекта, AED]*Таблица1[Комиссия ,%]/100</f>
        <v>80000</v>
      </c>
      <c r="I11" s="10" t="s">
        <v>28</v>
      </c>
      <c r="J11" s="13"/>
      <c r="K11" s="13">
        <f t="shared" si="3"/>
        <v>66400</v>
      </c>
      <c r="L11" s="13"/>
      <c r="M11" s="13"/>
      <c r="N11" s="13"/>
      <c r="O11" s="14">
        <f t="shared" si="4"/>
        <v>13600</v>
      </c>
      <c r="P11" s="13"/>
      <c r="Q11" s="10" t="s">
        <v>44</v>
      </c>
    </row>
    <row r="12" ht="22.5" customHeight="1">
      <c r="A12" s="9">
        <v>45678.0</v>
      </c>
      <c r="B12" s="10" t="s">
        <v>45</v>
      </c>
      <c r="C12" s="10" t="s">
        <v>41</v>
      </c>
      <c r="D12" s="13"/>
      <c r="E12" s="13"/>
      <c r="F12" s="11">
        <v>2150000.0</v>
      </c>
      <c r="G12" s="10">
        <v>1.2</v>
      </c>
      <c r="H12" s="14">
        <f>Таблица1[Стоимость объекта, AED]*Таблица1[Комиссия ,%]/100</f>
        <v>25800</v>
      </c>
      <c r="I12" s="10" t="s">
        <v>28</v>
      </c>
      <c r="J12" s="13"/>
      <c r="K12" s="13">
        <f t="shared" si="3"/>
        <v>21414</v>
      </c>
      <c r="L12" s="13"/>
      <c r="M12" s="13"/>
      <c r="N12" s="13"/>
      <c r="O12" s="14">
        <f t="shared" si="4"/>
        <v>4386</v>
      </c>
      <c r="P12" s="13"/>
      <c r="Q12" s="10" t="s">
        <v>46</v>
      </c>
    </row>
    <row r="13" ht="22.5" customHeight="1">
      <c r="A13" s="9">
        <v>45553.0</v>
      </c>
      <c r="B13" s="10" t="s">
        <v>47</v>
      </c>
      <c r="C13" s="10" t="s">
        <v>48</v>
      </c>
      <c r="D13" s="10" t="s">
        <v>22</v>
      </c>
      <c r="E13" s="10" t="s">
        <v>23</v>
      </c>
      <c r="F13" s="11">
        <v>960000.0</v>
      </c>
      <c r="G13" s="10">
        <v>2.0</v>
      </c>
      <c r="H13" s="14">
        <f>Таблица1[Стоимость объекта, AED]*Таблица1[Комиссия ,%]/100</f>
        <v>19200</v>
      </c>
      <c r="I13" s="13"/>
      <c r="J13" s="13"/>
      <c r="K13" s="13">
        <f t="shared" si="3"/>
        <v>15936</v>
      </c>
      <c r="L13" s="13"/>
      <c r="M13" s="13">
        <f>H13*0.05</f>
        <v>960</v>
      </c>
      <c r="N13" s="13"/>
      <c r="O13" s="14">
        <f>H13-K13-L13-M13-N13</f>
        <v>2304</v>
      </c>
      <c r="P13" s="13"/>
      <c r="Q13" s="13"/>
    </row>
    <row r="14" ht="20.25" customHeight="1">
      <c r="A14" s="19">
        <v>45687.0</v>
      </c>
      <c r="B14" s="20" t="s">
        <v>49</v>
      </c>
      <c r="C14" s="21" t="s">
        <v>26</v>
      </c>
      <c r="D14" s="21" t="s">
        <v>27</v>
      </c>
      <c r="E14" s="22"/>
      <c r="F14" s="23">
        <v>540000.0</v>
      </c>
      <c r="G14" s="24">
        <v>2.0</v>
      </c>
      <c r="H14" s="25">
        <v>21600.0</v>
      </c>
      <c r="I14" s="21" t="s">
        <v>28</v>
      </c>
      <c r="J14" s="26">
        <v>1080.0</v>
      </c>
      <c r="K14" s="26">
        <v>17928.0</v>
      </c>
      <c r="L14" s="27">
        <v>216.0</v>
      </c>
      <c r="M14" s="28"/>
      <c r="N14" s="27"/>
      <c r="O14" s="29">
        <v>3456.0</v>
      </c>
      <c r="P14" s="30"/>
      <c r="Q14" s="27" t="s">
        <v>50</v>
      </c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ht="21.0" customHeight="1">
      <c r="A15" s="33">
        <v>45694.0</v>
      </c>
      <c r="B15" s="34" t="s">
        <v>51</v>
      </c>
      <c r="C15" s="21" t="s">
        <v>52</v>
      </c>
      <c r="D15" s="21" t="s">
        <v>27</v>
      </c>
      <c r="E15" s="22"/>
      <c r="F15" s="23">
        <v>1025000.0</v>
      </c>
      <c r="G15" s="24">
        <v>2.0</v>
      </c>
      <c r="H15" s="35">
        <v>20500.0</v>
      </c>
      <c r="I15" s="36" t="s">
        <v>53</v>
      </c>
      <c r="J15" s="26">
        <v>1025.0</v>
      </c>
      <c r="K15" s="26">
        <f t="shared" ref="K15:K17" si="5">H15*0.5</f>
        <v>10250</v>
      </c>
      <c r="L15" s="31">
        <f t="shared" ref="L15:L16" si="6">H15*0.01</f>
        <v>205</v>
      </c>
      <c r="M15" s="31"/>
      <c r="N15" s="31"/>
      <c r="O15" s="37">
        <f t="shared" ref="O15:O20" si="7">H15-K15-L15</f>
        <v>10045</v>
      </c>
      <c r="P15" s="38"/>
      <c r="Q15" s="27" t="s">
        <v>54</v>
      </c>
      <c r="R15" s="39"/>
    </row>
    <row r="16" ht="20.25" customHeight="1">
      <c r="A16" s="33">
        <v>45694.0</v>
      </c>
      <c r="B16" s="34" t="s">
        <v>55</v>
      </c>
      <c r="C16" s="21" t="s">
        <v>52</v>
      </c>
      <c r="D16" s="21" t="s">
        <v>27</v>
      </c>
      <c r="E16" s="22"/>
      <c r="F16" s="23">
        <v>1015000.0</v>
      </c>
      <c r="G16" s="24">
        <v>2.0</v>
      </c>
      <c r="H16" s="35">
        <v>20300.0</v>
      </c>
      <c r="I16" s="36" t="s">
        <v>53</v>
      </c>
      <c r="J16" s="26">
        <v>1015.0</v>
      </c>
      <c r="K16" s="26">
        <f t="shared" si="5"/>
        <v>10150</v>
      </c>
      <c r="L16" s="31">
        <f t="shared" si="6"/>
        <v>203</v>
      </c>
      <c r="M16" s="31"/>
      <c r="N16" s="31"/>
      <c r="O16" s="37">
        <f t="shared" si="7"/>
        <v>9947</v>
      </c>
      <c r="P16" s="38"/>
      <c r="Q16" s="27" t="s">
        <v>54</v>
      </c>
      <c r="R16" s="39"/>
    </row>
    <row r="17" ht="20.25" customHeight="1">
      <c r="A17" s="40">
        <v>45721.0</v>
      </c>
      <c r="B17" s="41" t="s">
        <v>56</v>
      </c>
      <c r="C17" s="42" t="s">
        <v>18</v>
      </c>
      <c r="D17" s="43" t="s">
        <v>22</v>
      </c>
      <c r="E17" s="22" t="s">
        <v>57</v>
      </c>
      <c r="F17" s="23">
        <v>6450000.0</v>
      </c>
      <c r="G17" s="24">
        <v>2.0</v>
      </c>
      <c r="H17" s="35">
        <v>129000.0</v>
      </c>
      <c r="I17" s="21" t="s">
        <v>28</v>
      </c>
      <c r="J17" s="26">
        <v>6450.0</v>
      </c>
      <c r="K17" s="26">
        <f t="shared" si="5"/>
        <v>64500</v>
      </c>
      <c r="L17" s="31"/>
      <c r="M17" s="31"/>
      <c r="N17" s="31"/>
      <c r="O17" s="37">
        <f t="shared" si="7"/>
        <v>64500</v>
      </c>
      <c r="P17" s="44"/>
      <c r="Q17" s="45"/>
      <c r="R17" s="39"/>
    </row>
    <row r="18" ht="21.75" customHeight="1">
      <c r="A18" s="40">
        <v>45730.0</v>
      </c>
      <c r="B18" s="41" t="s">
        <v>58</v>
      </c>
      <c r="C18" s="46" t="s">
        <v>41</v>
      </c>
      <c r="D18" s="43" t="s">
        <v>59</v>
      </c>
      <c r="E18" s="22" t="s">
        <v>57</v>
      </c>
      <c r="F18" s="23">
        <v>1130000.0</v>
      </c>
      <c r="G18" s="24">
        <v>2.0</v>
      </c>
      <c r="H18" s="35">
        <v>21800.0</v>
      </c>
      <c r="I18" s="21" t="s">
        <v>28</v>
      </c>
      <c r="J18" s="26">
        <v>1090.0</v>
      </c>
      <c r="K18" s="26">
        <f t="shared" ref="K18:K19" si="8">H18*0.8</f>
        <v>17440</v>
      </c>
      <c r="L18" s="31">
        <f>H18*0.05</f>
        <v>1090</v>
      </c>
      <c r="M18" s="31"/>
      <c r="N18" s="31"/>
      <c r="O18" s="37">
        <f t="shared" si="7"/>
        <v>3270</v>
      </c>
      <c r="P18" s="44"/>
      <c r="Q18" s="27" t="s">
        <v>60</v>
      </c>
      <c r="R18" s="39"/>
    </row>
    <row r="19" ht="21.0" customHeight="1">
      <c r="A19" s="40">
        <v>45732.0</v>
      </c>
      <c r="B19" s="41" t="s">
        <v>61</v>
      </c>
      <c r="C19" s="46" t="s">
        <v>62</v>
      </c>
      <c r="D19" s="21" t="s">
        <v>63</v>
      </c>
      <c r="E19" s="22" t="s">
        <v>57</v>
      </c>
      <c r="F19" s="23">
        <v>1850000.0</v>
      </c>
      <c r="G19" s="24">
        <v>2.0</v>
      </c>
      <c r="H19" s="35">
        <v>37000.0</v>
      </c>
      <c r="I19" s="36" t="s">
        <v>64</v>
      </c>
      <c r="J19" s="26">
        <v>1850.0</v>
      </c>
      <c r="K19" s="26">
        <f t="shared" si="8"/>
        <v>29600</v>
      </c>
      <c r="L19" s="31">
        <f>H19*0.01</f>
        <v>370</v>
      </c>
      <c r="M19" s="31">
        <f t="shared" ref="M19:M20" si="9">H19*0.05</f>
        <v>1850</v>
      </c>
      <c r="N19" s="31"/>
      <c r="O19" s="37">
        <f t="shared" si="7"/>
        <v>7030</v>
      </c>
      <c r="P19" s="44"/>
      <c r="Q19" s="27" t="s">
        <v>60</v>
      </c>
      <c r="R19" s="39"/>
    </row>
    <row r="20" ht="21.0" customHeight="1">
      <c r="A20" s="40">
        <v>45737.0</v>
      </c>
      <c r="B20" s="41" t="s">
        <v>65</v>
      </c>
      <c r="C20" s="46" t="s">
        <v>66</v>
      </c>
      <c r="D20" s="43" t="s">
        <v>59</v>
      </c>
      <c r="E20" s="22" t="s">
        <v>57</v>
      </c>
      <c r="F20" s="23">
        <v>1080000.0</v>
      </c>
      <c r="G20" s="47">
        <v>2.0</v>
      </c>
      <c r="H20" s="35">
        <v>41600.0</v>
      </c>
      <c r="I20" s="21" t="s">
        <v>28</v>
      </c>
      <c r="J20" s="26">
        <v>1080.0</v>
      </c>
      <c r="K20" s="48">
        <v>33280.0</v>
      </c>
      <c r="L20" s="31"/>
      <c r="M20" s="31">
        <f t="shared" si="9"/>
        <v>2080</v>
      </c>
      <c r="N20" s="31"/>
      <c r="O20" s="37">
        <f t="shared" si="7"/>
        <v>8320</v>
      </c>
      <c r="P20" s="44"/>
      <c r="Q20" s="27" t="s">
        <v>67</v>
      </c>
      <c r="R20" s="39"/>
    </row>
    <row r="21" ht="22.5" customHeight="1">
      <c r="A21" s="49">
        <v>45749.0</v>
      </c>
      <c r="B21" s="50" t="s">
        <v>68</v>
      </c>
      <c r="C21" s="51" t="s">
        <v>69</v>
      </c>
      <c r="D21" s="43" t="s">
        <v>59</v>
      </c>
      <c r="E21" s="48" t="s">
        <v>70</v>
      </c>
      <c r="F21" s="52">
        <v>56000.0</v>
      </c>
      <c r="G21" s="48">
        <v>5.0</v>
      </c>
      <c r="H21" s="53">
        <v>2800.0</v>
      </c>
      <c r="I21" s="21" t="s">
        <v>28</v>
      </c>
      <c r="J21" s="48" t="s">
        <v>22</v>
      </c>
      <c r="K21" s="48">
        <v>2240.0</v>
      </c>
      <c r="L21" s="54"/>
      <c r="M21" s="54"/>
      <c r="N21" s="54"/>
      <c r="O21" s="55">
        <v>560.0</v>
      </c>
      <c r="P21" s="56"/>
      <c r="Q21" s="27" t="s">
        <v>60</v>
      </c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</row>
    <row r="22" ht="21.75" customHeight="1">
      <c r="A22" s="49">
        <v>45767.0</v>
      </c>
      <c r="B22" s="50" t="s">
        <v>71</v>
      </c>
      <c r="C22" s="51" t="s">
        <v>41</v>
      </c>
      <c r="D22" s="43" t="s">
        <v>59</v>
      </c>
      <c r="E22" s="48" t="s">
        <v>57</v>
      </c>
      <c r="F22" s="52">
        <v>2000000.0</v>
      </c>
      <c r="G22" s="48">
        <v>1.0</v>
      </c>
      <c r="H22" s="57">
        <v>20000.0</v>
      </c>
      <c r="I22" s="48" t="s">
        <v>64</v>
      </c>
      <c r="J22" s="48">
        <v>1000.0</v>
      </c>
      <c r="K22" s="48">
        <v>16000.0</v>
      </c>
      <c r="L22" s="54"/>
      <c r="M22" s="31">
        <f t="shared" ref="M22:M30" si="10">H22*0.05</f>
        <v>1000</v>
      </c>
      <c r="N22" s="54"/>
      <c r="O22" s="37">
        <f t="shared" ref="O22:O30" si="11">H22-K22-L22</f>
        <v>4000</v>
      </c>
      <c r="P22" s="44"/>
      <c r="Q22" s="27" t="s">
        <v>72</v>
      </c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</row>
    <row r="23" ht="23.25" customHeight="1">
      <c r="A23" s="49">
        <v>45769.0</v>
      </c>
      <c r="B23" s="50" t="s">
        <v>73</v>
      </c>
      <c r="C23" s="51" t="s">
        <v>41</v>
      </c>
      <c r="D23" s="43" t="s">
        <v>59</v>
      </c>
      <c r="E23" s="48" t="s">
        <v>57</v>
      </c>
      <c r="F23" s="52">
        <v>1450000.0</v>
      </c>
      <c r="G23" s="48">
        <v>2.0</v>
      </c>
      <c r="H23" s="53">
        <v>29000.0</v>
      </c>
      <c r="I23" s="21" t="s">
        <v>28</v>
      </c>
      <c r="J23" s="48">
        <v>1450.0</v>
      </c>
      <c r="K23" s="48">
        <v>23200.0</v>
      </c>
      <c r="L23" s="54"/>
      <c r="M23" s="31">
        <f t="shared" si="10"/>
        <v>1450</v>
      </c>
      <c r="N23" s="54"/>
      <c r="O23" s="37">
        <f t="shared" si="11"/>
        <v>5800</v>
      </c>
      <c r="P23" s="44"/>
      <c r="Q23" s="27" t="s">
        <v>74</v>
      </c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 ht="21.0" customHeight="1">
      <c r="A24" s="49">
        <v>45770.0</v>
      </c>
      <c r="B24" s="50" t="s">
        <v>75</v>
      </c>
      <c r="C24" s="51" t="s">
        <v>41</v>
      </c>
      <c r="D24" s="43" t="s">
        <v>59</v>
      </c>
      <c r="E24" s="48" t="s">
        <v>57</v>
      </c>
      <c r="F24" s="52">
        <v>6827000.0</v>
      </c>
      <c r="G24" s="58" t="s">
        <v>22</v>
      </c>
      <c r="H24" s="53">
        <v>77837.0</v>
      </c>
      <c r="I24" s="59" t="s">
        <v>64</v>
      </c>
      <c r="J24" s="58">
        <v>3891.85</v>
      </c>
      <c r="K24" s="48">
        <v>62269.0</v>
      </c>
      <c r="L24" s="54"/>
      <c r="M24" s="31">
        <f t="shared" si="10"/>
        <v>3891.85</v>
      </c>
      <c r="N24" s="54"/>
      <c r="O24" s="37">
        <f t="shared" si="11"/>
        <v>15568</v>
      </c>
      <c r="P24" s="44"/>
      <c r="Q24" s="27" t="s">
        <v>76</v>
      </c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 ht="21.0" customHeight="1">
      <c r="A25" s="49">
        <v>45771.0</v>
      </c>
      <c r="B25" s="50" t="s">
        <v>73</v>
      </c>
      <c r="C25" s="51" t="s">
        <v>41</v>
      </c>
      <c r="D25" s="43" t="s">
        <v>59</v>
      </c>
      <c r="E25" s="48" t="s">
        <v>57</v>
      </c>
      <c r="F25" s="52">
        <v>1570000.0</v>
      </c>
      <c r="G25" s="48">
        <v>2.0</v>
      </c>
      <c r="H25" s="53">
        <v>31400.0</v>
      </c>
      <c r="I25" s="48" t="s">
        <v>28</v>
      </c>
      <c r="J25" s="48">
        <v>1570.0</v>
      </c>
      <c r="K25" s="48">
        <v>25120.0</v>
      </c>
      <c r="L25" s="54"/>
      <c r="M25" s="31">
        <f t="shared" si="10"/>
        <v>1570</v>
      </c>
      <c r="N25" s="54"/>
      <c r="O25" s="37">
        <f t="shared" si="11"/>
        <v>6280</v>
      </c>
      <c r="P25" s="44"/>
      <c r="Q25" s="27" t="s">
        <v>77</v>
      </c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6" ht="22.5" customHeight="1">
      <c r="A26" s="49">
        <v>45772.0</v>
      </c>
      <c r="B26" s="50" t="s">
        <v>78</v>
      </c>
      <c r="C26" s="51" t="s">
        <v>79</v>
      </c>
      <c r="D26" s="43" t="s">
        <v>59</v>
      </c>
      <c r="E26" s="48" t="s">
        <v>57</v>
      </c>
      <c r="F26" s="52">
        <v>655000.0</v>
      </c>
      <c r="G26" s="48">
        <v>2.0</v>
      </c>
      <c r="H26" s="53">
        <v>13100.0</v>
      </c>
      <c r="I26" s="48" t="s">
        <v>28</v>
      </c>
      <c r="J26" s="48">
        <v>655.0</v>
      </c>
      <c r="K26" s="48">
        <f t="shared" ref="K26:K27" si="12">H26*0.8</f>
        <v>10480</v>
      </c>
      <c r="L26" s="54"/>
      <c r="M26" s="31">
        <f t="shared" si="10"/>
        <v>655</v>
      </c>
      <c r="N26" s="54"/>
      <c r="O26" s="37">
        <f t="shared" si="11"/>
        <v>2620</v>
      </c>
      <c r="P26" s="44"/>
      <c r="Q26" s="27" t="s">
        <v>80</v>
      </c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</row>
    <row r="27" ht="20.25" customHeight="1">
      <c r="A27" s="49">
        <v>45772.0</v>
      </c>
      <c r="B27" s="50" t="s">
        <v>81</v>
      </c>
      <c r="C27" s="51" t="s">
        <v>30</v>
      </c>
      <c r="D27" s="43" t="s">
        <v>59</v>
      </c>
      <c r="E27" s="48" t="s">
        <v>57</v>
      </c>
      <c r="F27" s="52">
        <v>1035000.0</v>
      </c>
      <c r="G27" s="48">
        <v>2.0</v>
      </c>
      <c r="H27" s="53">
        <v>20700.0</v>
      </c>
      <c r="I27" s="21" t="s">
        <v>28</v>
      </c>
      <c r="J27" s="48">
        <v>1035.0</v>
      </c>
      <c r="K27" s="48">
        <f t="shared" si="12"/>
        <v>16560</v>
      </c>
      <c r="L27" s="54"/>
      <c r="M27" s="31">
        <f t="shared" si="10"/>
        <v>1035</v>
      </c>
      <c r="N27" s="54"/>
      <c r="O27" s="37">
        <f t="shared" si="11"/>
        <v>4140</v>
      </c>
      <c r="P27" s="44"/>
      <c r="Q27" s="27" t="s">
        <v>60</v>
      </c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</row>
    <row r="28" ht="21.75" customHeight="1">
      <c r="A28" s="49">
        <v>45773.0</v>
      </c>
      <c r="B28" s="50" t="s">
        <v>82</v>
      </c>
      <c r="C28" s="51" t="s">
        <v>41</v>
      </c>
      <c r="D28" s="60" t="s">
        <v>59</v>
      </c>
      <c r="E28" s="48" t="s">
        <v>57</v>
      </c>
      <c r="F28" s="61">
        <v>1490000.0</v>
      </c>
      <c r="G28" s="59">
        <v>2.0</v>
      </c>
      <c r="H28" s="62">
        <v>29800.0</v>
      </c>
      <c r="I28" s="59" t="s">
        <v>64</v>
      </c>
      <c r="J28" s="59">
        <v>1490.0</v>
      </c>
      <c r="K28" s="59">
        <v>23840.0</v>
      </c>
      <c r="L28" s="63"/>
      <c r="M28" s="64">
        <f t="shared" si="10"/>
        <v>1490</v>
      </c>
      <c r="N28" s="63"/>
      <c r="O28" s="65">
        <f t="shared" si="11"/>
        <v>5960</v>
      </c>
      <c r="P28" s="66"/>
      <c r="Q28" s="27" t="s">
        <v>83</v>
      </c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</row>
    <row r="29" ht="21.0" customHeight="1">
      <c r="A29" s="49">
        <v>45776.0</v>
      </c>
      <c r="B29" s="50" t="s">
        <v>84</v>
      </c>
      <c r="C29" s="51" t="s">
        <v>30</v>
      </c>
      <c r="D29" s="43" t="s">
        <v>59</v>
      </c>
      <c r="E29" s="48" t="s">
        <v>57</v>
      </c>
      <c r="F29" s="52">
        <v>3080000.0</v>
      </c>
      <c r="G29" s="48">
        <v>2.0</v>
      </c>
      <c r="H29" s="53">
        <v>61600.0</v>
      </c>
      <c r="I29" s="59" t="s">
        <v>85</v>
      </c>
      <c r="J29" s="48">
        <v>3080.0</v>
      </c>
      <c r="K29" s="48">
        <f t="shared" ref="K29:K30" si="13">H29*0.8</f>
        <v>49280</v>
      </c>
      <c r="L29" s="54"/>
      <c r="M29" s="31">
        <f t="shared" si="10"/>
        <v>3080</v>
      </c>
      <c r="N29" s="54"/>
      <c r="O29" s="37">
        <f t="shared" si="11"/>
        <v>12320</v>
      </c>
      <c r="P29" s="44"/>
      <c r="Q29" s="27" t="s">
        <v>86</v>
      </c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</row>
    <row r="30" ht="23.25" customHeight="1">
      <c r="A30" s="49">
        <v>45776.0</v>
      </c>
      <c r="B30" s="50" t="s">
        <v>87</v>
      </c>
      <c r="C30" s="51" t="s">
        <v>30</v>
      </c>
      <c r="D30" s="43" t="s">
        <v>59</v>
      </c>
      <c r="E30" s="48" t="s">
        <v>57</v>
      </c>
      <c r="F30" s="52">
        <v>955000.0</v>
      </c>
      <c r="G30" s="48">
        <v>4.0</v>
      </c>
      <c r="H30" s="53">
        <v>38200.0</v>
      </c>
      <c r="I30" s="59" t="s">
        <v>64</v>
      </c>
      <c r="J30" s="48">
        <v>1910.0</v>
      </c>
      <c r="K30" s="48">
        <f t="shared" si="13"/>
        <v>30560</v>
      </c>
      <c r="L30" s="54"/>
      <c r="M30" s="31">
        <f t="shared" si="10"/>
        <v>1910</v>
      </c>
      <c r="N30" s="54"/>
      <c r="O30" s="37">
        <f t="shared" si="11"/>
        <v>7640</v>
      </c>
      <c r="P30" s="44"/>
      <c r="Q30" s="48" t="s">
        <v>88</v>
      </c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</row>
    <row r="31" ht="21.0" customHeight="1">
      <c r="A31" s="49">
        <v>45780.0</v>
      </c>
      <c r="B31" s="67" t="s">
        <v>89</v>
      </c>
      <c r="C31" s="51" t="s">
        <v>90</v>
      </c>
      <c r="D31" s="43" t="s">
        <v>59</v>
      </c>
      <c r="E31" s="48" t="s">
        <v>57</v>
      </c>
      <c r="F31" s="52">
        <v>2200000.0</v>
      </c>
      <c r="G31" s="48">
        <v>2.0</v>
      </c>
      <c r="H31" s="53">
        <v>44000.0</v>
      </c>
      <c r="I31" s="36" t="s">
        <v>64</v>
      </c>
      <c r="J31" s="48">
        <v>2200.0</v>
      </c>
      <c r="K31" s="48">
        <v>35200.0</v>
      </c>
      <c r="L31" s="54"/>
      <c r="M31" s="48">
        <v>2200.0</v>
      </c>
      <c r="N31" s="54"/>
      <c r="O31" s="55">
        <v>8800.0</v>
      </c>
      <c r="P31" s="56"/>
      <c r="Q31" s="48" t="s">
        <v>91</v>
      </c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</row>
    <row r="32" ht="18.75" customHeight="1">
      <c r="A32" s="49">
        <v>45799.0</v>
      </c>
      <c r="B32" s="50" t="s">
        <v>92</v>
      </c>
      <c r="C32" s="51" t="s">
        <v>69</v>
      </c>
      <c r="D32" s="43" t="s">
        <v>59</v>
      </c>
      <c r="E32" s="48" t="s">
        <v>57</v>
      </c>
      <c r="F32" s="52">
        <v>1600000.0</v>
      </c>
      <c r="G32" s="48">
        <v>2.0</v>
      </c>
      <c r="H32" s="53">
        <v>32000.0</v>
      </c>
      <c r="I32" s="48" t="s">
        <v>28</v>
      </c>
      <c r="J32" s="48">
        <v>1600.0</v>
      </c>
      <c r="K32" s="48">
        <v>25600.0</v>
      </c>
      <c r="L32" s="54"/>
      <c r="M32" s="48">
        <v>1600.0</v>
      </c>
      <c r="N32" s="54"/>
      <c r="O32" s="55">
        <v>6400.0</v>
      </c>
      <c r="P32" s="56"/>
      <c r="Q32" s="48" t="s">
        <v>93</v>
      </c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 ht="19.5" customHeight="1">
      <c r="A33" s="49">
        <v>45802.0</v>
      </c>
      <c r="B33" s="68" t="s">
        <v>94</v>
      </c>
      <c r="C33" s="51" t="s">
        <v>69</v>
      </c>
      <c r="D33" s="43" t="s">
        <v>59</v>
      </c>
      <c r="E33" s="48" t="s">
        <v>57</v>
      </c>
      <c r="F33" s="52">
        <v>1360000.0</v>
      </c>
      <c r="G33" s="48">
        <v>2.0</v>
      </c>
      <c r="H33" s="53">
        <v>33100.0</v>
      </c>
      <c r="I33" s="48" t="s">
        <v>28</v>
      </c>
      <c r="J33" s="48">
        <v>1360.0</v>
      </c>
      <c r="K33" s="48">
        <v>16550.0</v>
      </c>
      <c r="L33" s="54"/>
      <c r="M33" s="48">
        <v>1655.0</v>
      </c>
      <c r="N33" s="54"/>
      <c r="O33" s="55">
        <v>17910.0</v>
      </c>
      <c r="P33" s="56"/>
      <c r="Q33" s="48" t="s">
        <v>95</v>
      </c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 ht="20.25" customHeight="1">
      <c r="A34" s="49">
        <v>45817.0</v>
      </c>
      <c r="B34" s="50" t="s">
        <v>96</v>
      </c>
      <c r="C34" s="51" t="s">
        <v>41</v>
      </c>
      <c r="D34" s="43" t="s">
        <v>59</v>
      </c>
      <c r="E34" s="48" t="s">
        <v>57</v>
      </c>
      <c r="F34" s="52">
        <v>2400000.0</v>
      </c>
      <c r="G34" s="48">
        <v>2.0</v>
      </c>
      <c r="H34" s="57">
        <v>48000.0</v>
      </c>
      <c r="I34" s="59" t="s">
        <v>64</v>
      </c>
      <c r="J34" s="48">
        <v>2600.0</v>
      </c>
      <c r="K34" s="48">
        <f>H34*0.8</f>
        <v>38400</v>
      </c>
      <c r="L34" s="54"/>
      <c r="M34" s="48">
        <v>2400.0</v>
      </c>
      <c r="N34" s="54"/>
      <c r="O34" s="55">
        <f>H34-K34-M34</f>
        <v>7200</v>
      </c>
      <c r="P34" s="56"/>
      <c r="Q34" s="48" t="s">
        <v>97</v>
      </c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</row>
    <row r="35" ht="20.25" customHeight="1">
      <c r="A35" s="49">
        <v>45825.0</v>
      </c>
      <c r="B35" s="50" t="s">
        <v>98</v>
      </c>
      <c r="C35" s="42" t="s">
        <v>18</v>
      </c>
      <c r="D35" s="54"/>
      <c r="E35" s="48" t="s">
        <v>57</v>
      </c>
      <c r="F35" s="52">
        <v>7200000.0</v>
      </c>
      <c r="G35" s="48">
        <v>2.0</v>
      </c>
      <c r="H35" s="57">
        <v>48000.0</v>
      </c>
      <c r="I35" s="48" t="s">
        <v>28</v>
      </c>
      <c r="J35" s="54"/>
      <c r="K35" s="54"/>
      <c r="L35" s="54"/>
      <c r="M35" s="54"/>
      <c r="N35" s="54"/>
      <c r="O35" s="69"/>
      <c r="P35" s="54"/>
      <c r="Q35" s="48" t="s">
        <v>99</v>
      </c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</row>
    <row r="36">
      <c r="A36" s="49">
        <v>45832.0</v>
      </c>
      <c r="B36" s="70" t="s">
        <v>100</v>
      </c>
      <c r="C36" s="71" t="s">
        <v>101</v>
      </c>
      <c r="D36" s="43" t="s">
        <v>59</v>
      </c>
      <c r="E36" s="48" t="s">
        <v>57</v>
      </c>
      <c r="F36" s="72">
        <v>1110000.0</v>
      </c>
      <c r="G36" s="48">
        <v>2.0</v>
      </c>
      <c r="H36" s="53">
        <v>22200.0</v>
      </c>
      <c r="I36" s="48" t="s">
        <v>28</v>
      </c>
      <c r="J36" s="48">
        <v>1110.0</v>
      </c>
      <c r="K36" s="48">
        <v>17760.0</v>
      </c>
      <c r="L36" s="54"/>
      <c r="M36" s="48">
        <v>1110.0</v>
      </c>
      <c r="N36" s="54"/>
      <c r="O36" s="55">
        <v>4440.0</v>
      </c>
      <c r="P36" s="56"/>
      <c r="Q36" s="48" t="s">
        <v>93</v>
      </c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</row>
    <row r="37">
      <c r="A37" s="49">
        <v>45832.0</v>
      </c>
      <c r="B37" s="50" t="s">
        <v>102</v>
      </c>
      <c r="C37" s="51" t="s">
        <v>30</v>
      </c>
      <c r="D37" s="43" t="s">
        <v>59</v>
      </c>
      <c r="E37" s="48" t="s">
        <v>57</v>
      </c>
      <c r="F37" s="72">
        <v>625000.0</v>
      </c>
      <c r="G37" s="48">
        <v>2.0</v>
      </c>
      <c r="H37" s="53">
        <v>12500.0</v>
      </c>
      <c r="I37" s="48" t="s">
        <v>28</v>
      </c>
      <c r="J37" s="48">
        <v>625.0</v>
      </c>
      <c r="K37" s="48">
        <v>10000.0</v>
      </c>
      <c r="L37" s="54"/>
      <c r="M37" s="48">
        <v>625.0</v>
      </c>
      <c r="N37" s="54"/>
      <c r="O37" s="55">
        <v>3125.0</v>
      </c>
      <c r="P37" s="56"/>
      <c r="Q37" s="48" t="s">
        <v>97</v>
      </c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</row>
    <row r="38">
      <c r="A38" s="49">
        <v>45839.0</v>
      </c>
      <c r="B38" s="67" t="s">
        <v>103</v>
      </c>
      <c r="C38" s="50" t="s">
        <v>104</v>
      </c>
      <c r="D38" s="43" t="s">
        <v>59</v>
      </c>
      <c r="E38" s="48" t="s">
        <v>57</v>
      </c>
      <c r="F38" s="72">
        <v>650000.0</v>
      </c>
      <c r="G38" s="48">
        <v>2.0</v>
      </c>
      <c r="H38" s="53">
        <v>10000.0</v>
      </c>
      <c r="I38" s="48" t="s">
        <v>28</v>
      </c>
      <c r="J38" s="48">
        <v>500.0</v>
      </c>
      <c r="K38" s="48">
        <v>8000.0</v>
      </c>
      <c r="L38" s="54"/>
      <c r="M38" s="48">
        <v>500.0</v>
      </c>
      <c r="N38" s="54"/>
      <c r="O38" s="55">
        <v>2500.0</v>
      </c>
      <c r="P38" s="56"/>
      <c r="Q38" s="48" t="s">
        <v>105</v>
      </c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</row>
    <row r="39">
      <c r="A39" s="49">
        <v>45845.0</v>
      </c>
      <c r="B39" s="50" t="s">
        <v>106</v>
      </c>
      <c r="C39" s="50" t="s">
        <v>66</v>
      </c>
      <c r="D39" s="43" t="s">
        <v>59</v>
      </c>
      <c r="E39" s="48" t="s">
        <v>57</v>
      </c>
      <c r="F39" s="72">
        <v>2550000.0</v>
      </c>
      <c r="G39" s="73">
        <v>45779.0</v>
      </c>
      <c r="H39" s="53">
        <v>63750.0</v>
      </c>
      <c r="I39" s="48" t="s">
        <v>28</v>
      </c>
      <c r="J39" s="48">
        <v>3187.5</v>
      </c>
      <c r="K39" s="48">
        <v>51000.0</v>
      </c>
      <c r="L39" s="54"/>
      <c r="M39" s="48">
        <v>3187.5</v>
      </c>
      <c r="N39" s="54"/>
      <c r="O39" s="55">
        <v>12750.0</v>
      </c>
      <c r="P39" s="56"/>
      <c r="Q39" s="48" t="s">
        <v>107</v>
      </c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</row>
    <row r="40">
      <c r="A40" s="49">
        <v>45854.0</v>
      </c>
      <c r="B40" s="50" t="s">
        <v>108</v>
      </c>
      <c r="C40" s="50" t="s">
        <v>109</v>
      </c>
      <c r="D40" s="43" t="s">
        <v>59</v>
      </c>
      <c r="E40" s="48" t="s">
        <v>57</v>
      </c>
      <c r="F40" s="72">
        <v>1550000.0</v>
      </c>
      <c r="G40" s="58" t="s">
        <v>110</v>
      </c>
      <c r="H40" s="53">
        <v>46000.0</v>
      </c>
      <c r="I40" s="74" t="s">
        <v>111</v>
      </c>
      <c r="J40" s="48">
        <v>1550.0</v>
      </c>
      <c r="K40" s="58" t="s">
        <v>112</v>
      </c>
      <c r="L40" s="54"/>
      <c r="M40" s="48">
        <v>2300.0</v>
      </c>
      <c r="N40" s="54"/>
      <c r="O40" s="55">
        <v>9200.0</v>
      </c>
      <c r="P40" s="56"/>
      <c r="Q40" s="48" t="s">
        <v>113</v>
      </c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</row>
    <row r="41">
      <c r="A41" s="49">
        <v>45874.0</v>
      </c>
      <c r="B41" s="50" t="s">
        <v>114</v>
      </c>
      <c r="C41" s="50" t="s">
        <v>115</v>
      </c>
      <c r="D41" s="75" t="s">
        <v>116</v>
      </c>
      <c r="E41" s="48" t="s">
        <v>57</v>
      </c>
      <c r="F41" s="52">
        <v>755000.0</v>
      </c>
      <c r="G41" s="76">
        <v>0.02</v>
      </c>
      <c r="H41" s="57">
        <v>15000.0</v>
      </c>
      <c r="I41" s="59" t="s">
        <v>28</v>
      </c>
      <c r="J41" s="48">
        <v>755.0</v>
      </c>
      <c r="K41" s="58">
        <v>12000.0</v>
      </c>
      <c r="L41" s="48">
        <v>500.0</v>
      </c>
      <c r="M41" s="48">
        <v>755.0</v>
      </c>
      <c r="N41" s="54"/>
      <c r="O41" s="55">
        <v>3775.0</v>
      </c>
      <c r="P41" s="56"/>
      <c r="Q41" s="48" t="s">
        <v>117</v>
      </c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</row>
    <row r="42">
      <c r="A42" s="49">
        <v>45877.0</v>
      </c>
      <c r="B42" s="50" t="s">
        <v>118</v>
      </c>
      <c r="C42" s="50" t="s">
        <v>104</v>
      </c>
      <c r="D42" s="60" t="s">
        <v>59</v>
      </c>
      <c r="E42" s="48" t="s">
        <v>70</v>
      </c>
      <c r="F42" s="72">
        <v>180000.0</v>
      </c>
      <c r="G42" s="76">
        <v>0.05</v>
      </c>
      <c r="H42" s="53">
        <v>9000.0</v>
      </c>
      <c r="I42" s="48" t="s">
        <v>28</v>
      </c>
      <c r="J42" s="54"/>
      <c r="K42" s="58">
        <v>4500.0</v>
      </c>
      <c r="L42" s="54"/>
      <c r="M42" s="48">
        <v>450.0</v>
      </c>
      <c r="N42" s="54"/>
      <c r="O42" s="55">
        <f>H42-K42-M42</f>
        <v>4050</v>
      </c>
      <c r="P42" s="56"/>
      <c r="Q42" s="48" t="s">
        <v>119</v>
      </c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</row>
    <row r="43">
      <c r="A43" s="49">
        <v>45881.0</v>
      </c>
      <c r="B43" s="50" t="s">
        <v>120</v>
      </c>
      <c r="C43" s="50" t="s">
        <v>121</v>
      </c>
      <c r="D43" s="43" t="s">
        <v>59</v>
      </c>
      <c r="E43" s="48" t="s">
        <v>57</v>
      </c>
      <c r="F43" s="52">
        <v>3500000.0</v>
      </c>
      <c r="G43" s="76">
        <v>0.02</v>
      </c>
      <c r="H43" s="57">
        <v>66.666</v>
      </c>
      <c r="I43" s="48" t="s">
        <v>24</v>
      </c>
      <c r="J43" s="48">
        <v>3333.0</v>
      </c>
      <c r="K43" s="58">
        <v>53.332</v>
      </c>
      <c r="L43" s="54"/>
      <c r="M43" s="48">
        <v>3333.0</v>
      </c>
      <c r="N43" s="54"/>
      <c r="O43" s="55">
        <v>13.333</v>
      </c>
      <c r="P43" s="56"/>
      <c r="Q43" s="48" t="s">
        <v>122</v>
      </c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</row>
    <row r="44">
      <c r="A44" s="49">
        <v>45881.0</v>
      </c>
      <c r="B44" s="50" t="s">
        <v>123</v>
      </c>
      <c r="C44" s="50" t="s">
        <v>124</v>
      </c>
      <c r="D44" s="43"/>
      <c r="E44" s="48" t="s">
        <v>57</v>
      </c>
      <c r="F44" s="52">
        <v>3500000.0</v>
      </c>
      <c r="G44" s="76">
        <v>0.02</v>
      </c>
      <c r="H44" s="57">
        <v>70000.0</v>
      </c>
      <c r="I44" s="48" t="s">
        <v>64</v>
      </c>
      <c r="J44" s="48">
        <v>3500.0</v>
      </c>
      <c r="K44" s="48">
        <v>56000.0</v>
      </c>
      <c r="L44" s="54"/>
      <c r="M44" s="48">
        <v>3500.0</v>
      </c>
      <c r="N44" s="54"/>
      <c r="O44" s="55">
        <v>14000.0</v>
      </c>
      <c r="P44" s="56"/>
      <c r="Q44" s="48" t="s">
        <v>122</v>
      </c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</row>
    <row r="45">
      <c r="A45" s="49">
        <v>45883.0</v>
      </c>
      <c r="B45" s="67" t="s">
        <v>125</v>
      </c>
      <c r="C45" s="50" t="s">
        <v>126</v>
      </c>
      <c r="D45" s="43" t="s">
        <v>59</v>
      </c>
      <c r="E45" s="48" t="s">
        <v>57</v>
      </c>
      <c r="F45" s="52">
        <v>1850000.0</v>
      </c>
      <c r="G45" s="58" t="s">
        <v>127</v>
      </c>
      <c r="H45" s="57">
        <v>27750.0</v>
      </c>
      <c r="I45" s="48" t="s">
        <v>128</v>
      </c>
      <c r="J45" s="77" t="s">
        <v>129</v>
      </c>
      <c r="K45" s="48">
        <v>13875.0</v>
      </c>
      <c r="L45" s="54"/>
      <c r="M45" s="48"/>
      <c r="N45" s="54"/>
      <c r="O45" s="78">
        <f t="shared" ref="O45:O47" si="14">H45-K45-M45</f>
        <v>13875</v>
      </c>
      <c r="P45" s="56" t="s">
        <v>130</v>
      </c>
      <c r="Q45" s="48" t="s">
        <v>131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>
      <c r="A46" s="49">
        <v>45884.0</v>
      </c>
      <c r="B46" s="79" t="s">
        <v>132</v>
      </c>
      <c r="C46" s="50" t="s">
        <v>133</v>
      </c>
      <c r="D46" s="43" t="s">
        <v>59</v>
      </c>
      <c r="E46" s="48" t="s">
        <v>57</v>
      </c>
      <c r="F46" s="52">
        <v>714000.0</v>
      </c>
      <c r="G46" s="58" t="s">
        <v>134</v>
      </c>
      <c r="H46" s="57">
        <v>14280.0</v>
      </c>
      <c r="I46" s="48" t="s">
        <v>64</v>
      </c>
      <c r="J46" s="48">
        <v>714.0</v>
      </c>
      <c r="K46" s="54">
        <f>H46*0.5</f>
        <v>7140</v>
      </c>
      <c r="L46" s="54"/>
      <c r="M46" s="54">
        <f>H46*0.05</f>
        <v>714</v>
      </c>
      <c r="N46" s="54"/>
      <c r="O46" s="78">
        <f t="shared" si="14"/>
        <v>6426</v>
      </c>
      <c r="P46" s="80"/>
      <c r="Q46" s="48" t="s">
        <v>135</v>
      </c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</row>
    <row r="47">
      <c r="A47" s="49">
        <v>45901.0</v>
      </c>
      <c r="B47" s="50" t="s">
        <v>136</v>
      </c>
      <c r="C47" s="50" t="s">
        <v>79</v>
      </c>
      <c r="D47" s="43" t="s">
        <v>59</v>
      </c>
      <c r="E47" s="48" t="s">
        <v>57</v>
      </c>
      <c r="F47" s="52">
        <v>1800000.0</v>
      </c>
      <c r="G47" s="76">
        <v>0.02</v>
      </c>
      <c r="H47" s="53">
        <v>36000.0</v>
      </c>
      <c r="I47" s="48" t="s">
        <v>137</v>
      </c>
      <c r="J47" s="48">
        <v>1800.0</v>
      </c>
      <c r="K47" s="48">
        <v>18000.0</v>
      </c>
      <c r="L47" s="54"/>
      <c r="M47" s="48">
        <v>1800.0</v>
      </c>
      <c r="N47" s="54"/>
      <c r="O47" s="55">
        <f t="shared" si="14"/>
        <v>16200</v>
      </c>
      <c r="P47" s="56"/>
      <c r="Q47" s="48" t="s">
        <v>138</v>
      </c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</row>
    <row r="48">
      <c r="A48" s="49">
        <v>45916.0</v>
      </c>
      <c r="B48" s="81" t="s">
        <v>139</v>
      </c>
      <c r="C48" s="51" t="s">
        <v>140</v>
      </c>
      <c r="D48" s="43" t="s">
        <v>59</v>
      </c>
      <c r="E48" s="48" t="s">
        <v>57</v>
      </c>
      <c r="F48" s="52">
        <v>1890000.0</v>
      </c>
      <c r="G48" s="58" t="s">
        <v>141</v>
      </c>
      <c r="H48" s="57" t="s">
        <v>141</v>
      </c>
      <c r="I48" s="48" t="s">
        <v>28</v>
      </c>
      <c r="J48" s="48">
        <v>1500.0</v>
      </c>
      <c r="K48" s="58" t="s">
        <v>142</v>
      </c>
      <c r="L48" s="54"/>
      <c r="M48" s="48">
        <v>1500.0</v>
      </c>
      <c r="N48" s="54"/>
      <c r="O48" s="55">
        <v>6000.0</v>
      </c>
      <c r="P48" s="56"/>
      <c r="Q48" s="48" t="s">
        <v>143</v>
      </c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</row>
    <row r="49">
      <c r="A49" s="49">
        <v>45919.0</v>
      </c>
      <c r="B49" s="50" t="s">
        <v>144</v>
      </c>
      <c r="C49" s="50" t="s">
        <v>145</v>
      </c>
      <c r="D49" s="43" t="s">
        <v>59</v>
      </c>
      <c r="E49" s="48" t="s">
        <v>57</v>
      </c>
      <c r="F49" s="52">
        <v>1050000.0</v>
      </c>
      <c r="G49" s="58" t="s">
        <v>146</v>
      </c>
      <c r="H49" s="53">
        <v>87465.0</v>
      </c>
      <c r="I49" s="48" t="s">
        <v>24</v>
      </c>
      <c r="J49" s="58" t="s">
        <v>147</v>
      </c>
      <c r="K49" s="48">
        <v>69972.0</v>
      </c>
      <c r="L49" s="54"/>
      <c r="M49" s="58" t="s">
        <v>147</v>
      </c>
      <c r="N49" s="54"/>
      <c r="O49" s="55">
        <v>17493.0</v>
      </c>
      <c r="P49" s="56"/>
      <c r="Q49" s="48" t="s">
        <v>148</v>
      </c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</row>
    <row r="50">
      <c r="A50" s="49">
        <v>45922.0</v>
      </c>
      <c r="B50" s="50" t="s">
        <v>149</v>
      </c>
      <c r="C50" s="50" t="s">
        <v>101</v>
      </c>
      <c r="D50" s="43" t="s">
        <v>59</v>
      </c>
      <c r="E50" s="48" t="s">
        <v>70</v>
      </c>
      <c r="F50" s="52">
        <v>300000.0</v>
      </c>
      <c r="G50" s="58" t="s">
        <v>150</v>
      </c>
      <c r="H50" s="53">
        <v>7500.0</v>
      </c>
      <c r="I50" s="48" t="s">
        <v>28</v>
      </c>
      <c r="J50" s="58" t="s">
        <v>151</v>
      </c>
      <c r="K50" s="48">
        <v>3750.0</v>
      </c>
      <c r="L50" s="54"/>
      <c r="M50" s="54"/>
      <c r="N50" s="54"/>
      <c r="O50" s="55">
        <v>3750.0</v>
      </c>
      <c r="P50" s="56"/>
      <c r="Q50" s="48" t="s">
        <v>152</v>
      </c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</row>
    <row r="51">
      <c r="A51" s="49">
        <v>45925.0</v>
      </c>
      <c r="B51" s="50" t="s">
        <v>153</v>
      </c>
      <c r="C51" s="50" t="s">
        <v>133</v>
      </c>
      <c r="D51" s="43" t="s">
        <v>59</v>
      </c>
      <c r="E51" s="48" t="s">
        <v>70</v>
      </c>
      <c r="F51" s="72">
        <v>130000.0</v>
      </c>
      <c r="G51" s="76">
        <v>0.05</v>
      </c>
      <c r="H51" s="53">
        <v>6500.0</v>
      </c>
      <c r="I51" s="48" t="s">
        <v>28</v>
      </c>
      <c r="J51" s="58" t="s">
        <v>151</v>
      </c>
      <c r="K51" s="48">
        <v>4420.0</v>
      </c>
      <c r="L51" s="54"/>
      <c r="M51" s="54"/>
      <c r="N51" s="54"/>
      <c r="O51" s="55">
        <v>2080.0</v>
      </c>
      <c r="P51" s="56"/>
      <c r="Q51" s="48" t="s">
        <v>154</v>
      </c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</row>
    <row r="52">
      <c r="A52" s="49">
        <v>45932.0</v>
      </c>
      <c r="B52" s="50" t="s">
        <v>155</v>
      </c>
      <c r="C52" s="50" t="s">
        <v>79</v>
      </c>
      <c r="D52" s="43" t="s">
        <v>59</v>
      </c>
      <c r="E52" s="48" t="s">
        <v>70</v>
      </c>
      <c r="F52" s="52">
        <v>155000.0</v>
      </c>
      <c r="G52" s="58" t="s">
        <v>150</v>
      </c>
      <c r="H52" s="53">
        <v>3875.0</v>
      </c>
      <c r="I52" s="48" t="s">
        <v>28</v>
      </c>
      <c r="J52" s="48">
        <v>387.5</v>
      </c>
      <c r="K52" s="48">
        <v>1937.5</v>
      </c>
      <c r="L52" s="54"/>
      <c r="M52" s="48">
        <v>193.75</v>
      </c>
      <c r="N52" s="54"/>
      <c r="O52" s="55">
        <v>1743.5</v>
      </c>
      <c r="P52" s="56"/>
      <c r="Q52" s="48" t="s">
        <v>156</v>
      </c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</row>
    <row r="53">
      <c r="A53" s="49">
        <v>45938.0</v>
      </c>
      <c r="B53" s="50" t="s">
        <v>157</v>
      </c>
      <c r="C53" s="50" t="s">
        <v>104</v>
      </c>
      <c r="D53" s="43" t="s">
        <v>59</v>
      </c>
      <c r="E53" s="48" t="s">
        <v>70</v>
      </c>
      <c r="F53" s="52">
        <v>1120000.0</v>
      </c>
      <c r="G53" s="58" t="s">
        <v>150</v>
      </c>
      <c r="H53" s="57" t="s">
        <v>158</v>
      </c>
      <c r="I53" s="48" t="s">
        <v>28</v>
      </c>
      <c r="J53" s="58" t="s">
        <v>151</v>
      </c>
      <c r="K53" s="58" t="s">
        <v>159</v>
      </c>
      <c r="L53" s="54"/>
      <c r="M53" s="54"/>
      <c r="N53" s="54"/>
      <c r="O53" s="55" t="s">
        <v>159</v>
      </c>
      <c r="P53" s="58"/>
      <c r="Q53" s="48" t="s">
        <v>160</v>
      </c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</row>
    <row r="54">
      <c r="A54" s="49">
        <v>45940.0</v>
      </c>
      <c r="B54" s="79" t="s">
        <v>161</v>
      </c>
      <c r="C54" s="50" t="s">
        <v>104</v>
      </c>
      <c r="D54" s="43" t="s">
        <v>59</v>
      </c>
      <c r="E54" s="48" t="s">
        <v>57</v>
      </c>
      <c r="F54" s="72">
        <v>720000.0</v>
      </c>
      <c r="G54" s="48">
        <v>20000.0</v>
      </c>
      <c r="H54" s="53">
        <v>20000.0</v>
      </c>
      <c r="I54" s="54"/>
      <c r="J54" s="48">
        <v>1000.0</v>
      </c>
      <c r="K54" s="48">
        <v>16000.0</v>
      </c>
      <c r="L54" s="54"/>
      <c r="M54" s="54"/>
      <c r="N54" s="54"/>
      <c r="O54" s="55">
        <v>4000.0</v>
      </c>
      <c r="P54" s="54"/>
      <c r="Q54" s="48" t="s">
        <v>162</v>
      </c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</row>
    <row r="55">
      <c r="A55" s="49">
        <v>45941.0</v>
      </c>
      <c r="B55" s="50" t="s">
        <v>163</v>
      </c>
      <c r="C55" s="50" t="s">
        <v>164</v>
      </c>
      <c r="D55" s="43" t="s">
        <v>59</v>
      </c>
      <c r="E55" s="48" t="s">
        <v>57</v>
      </c>
      <c r="F55" s="52">
        <v>520000.0</v>
      </c>
      <c r="G55" s="76">
        <v>0.02</v>
      </c>
      <c r="H55" s="53">
        <v>10500.0</v>
      </c>
      <c r="I55" s="54"/>
      <c r="J55" s="48">
        <v>525.0</v>
      </c>
      <c r="K55" s="48">
        <v>5250.0</v>
      </c>
      <c r="L55" s="54"/>
      <c r="M55" s="54">
        <f t="shared" ref="M55:M56" si="15">H55*0.05</f>
        <v>525</v>
      </c>
      <c r="N55" s="54"/>
      <c r="O55" s="55">
        <f t="shared" ref="O55:O56" si="16">H55-K55-M55</f>
        <v>4725</v>
      </c>
      <c r="P55" s="56" t="s">
        <v>165</v>
      </c>
      <c r="Q55" s="48" t="s">
        <v>166</v>
      </c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</row>
    <row r="56">
      <c r="A56" s="49">
        <v>45950.0</v>
      </c>
      <c r="B56" s="50" t="s">
        <v>167</v>
      </c>
      <c r="C56" s="50" t="s">
        <v>69</v>
      </c>
      <c r="D56" s="43" t="s">
        <v>59</v>
      </c>
      <c r="E56" s="48" t="s">
        <v>70</v>
      </c>
      <c r="F56" s="72">
        <v>52500.0</v>
      </c>
      <c r="G56" s="76">
        <v>0.05</v>
      </c>
      <c r="H56" s="53">
        <v>5000.0</v>
      </c>
      <c r="I56" s="48" t="s">
        <v>137</v>
      </c>
      <c r="J56" s="58" t="s">
        <v>151</v>
      </c>
      <c r="K56" s="48">
        <v>4000.0</v>
      </c>
      <c r="L56" s="54"/>
      <c r="M56" s="54">
        <f t="shared" si="15"/>
        <v>250</v>
      </c>
      <c r="N56" s="54"/>
      <c r="O56" s="55">
        <f t="shared" si="16"/>
        <v>750</v>
      </c>
      <c r="P56" s="56"/>
      <c r="Q56" s="48" t="s">
        <v>168</v>
      </c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</row>
    <row r="57">
      <c r="A57" s="49">
        <v>45953.0</v>
      </c>
      <c r="B57" s="50" t="s">
        <v>169</v>
      </c>
      <c r="C57" s="50" t="s">
        <v>170</v>
      </c>
      <c r="D57" s="43" t="s">
        <v>59</v>
      </c>
      <c r="E57" s="48" t="s">
        <v>70</v>
      </c>
      <c r="F57" s="72">
        <v>74000.0</v>
      </c>
      <c r="G57" s="48"/>
      <c r="H57" s="53">
        <v>5000.0</v>
      </c>
      <c r="I57" s="48" t="s">
        <v>137</v>
      </c>
      <c r="J57" s="58" t="s">
        <v>151</v>
      </c>
      <c r="K57" s="58" t="s">
        <v>171</v>
      </c>
      <c r="L57" s="54"/>
      <c r="M57" s="54"/>
      <c r="N57" s="54"/>
      <c r="O57" s="55">
        <v>2500.0</v>
      </c>
      <c r="P57" s="56"/>
      <c r="Q57" s="48" t="s">
        <v>172</v>
      </c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</row>
    <row r="58">
      <c r="A58" s="49">
        <v>45959.0</v>
      </c>
      <c r="B58" s="68" t="s">
        <v>173</v>
      </c>
      <c r="C58" s="50" t="s">
        <v>133</v>
      </c>
      <c r="D58" s="43" t="s">
        <v>59</v>
      </c>
      <c r="E58" s="48" t="s">
        <v>70</v>
      </c>
      <c r="F58" s="72">
        <v>67000.0</v>
      </c>
      <c r="G58" s="76">
        <v>0.05</v>
      </c>
      <c r="H58" s="53">
        <v>3350.0</v>
      </c>
      <c r="I58" s="48" t="s">
        <v>137</v>
      </c>
      <c r="J58" s="48">
        <v>167.0</v>
      </c>
      <c r="K58" s="58">
        <v>1675.0</v>
      </c>
      <c r="L58" s="54"/>
      <c r="M58" s="54">
        <f>H58*0.05</f>
        <v>167.5</v>
      </c>
      <c r="N58" s="54"/>
      <c r="O58" s="55">
        <f>H58-K58-M58</f>
        <v>1507.5</v>
      </c>
      <c r="P58" s="56"/>
      <c r="Q58" s="48" t="s">
        <v>174</v>
      </c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</row>
    <row r="59">
      <c r="A59" s="49">
        <v>45965.0</v>
      </c>
      <c r="B59" s="50" t="s">
        <v>175</v>
      </c>
      <c r="C59" s="50" t="s">
        <v>115</v>
      </c>
      <c r="D59" s="75" t="s">
        <v>116</v>
      </c>
      <c r="E59" s="48" t="s">
        <v>57</v>
      </c>
      <c r="F59" s="52">
        <v>3800000.0</v>
      </c>
      <c r="G59" s="76">
        <v>0.02</v>
      </c>
      <c r="H59" s="53">
        <v>76000.0</v>
      </c>
      <c r="I59" s="54"/>
      <c r="J59" s="48">
        <v>3800.0</v>
      </c>
      <c r="K59" s="54">
        <f>H59*0.88</f>
        <v>66880</v>
      </c>
      <c r="L59" s="48"/>
      <c r="M59" s="54"/>
      <c r="N59" s="48">
        <v>500.0</v>
      </c>
      <c r="O59" s="78">
        <f>H59-K59-N59</f>
        <v>8620</v>
      </c>
      <c r="P59" s="56" t="s">
        <v>176</v>
      </c>
      <c r="Q59" s="48" t="s">
        <v>177</v>
      </c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</row>
    <row r="60">
      <c r="A60" s="49">
        <v>45968.0</v>
      </c>
      <c r="B60" s="50" t="s">
        <v>178</v>
      </c>
      <c r="C60" s="50" t="s">
        <v>69</v>
      </c>
      <c r="D60" s="43" t="s">
        <v>59</v>
      </c>
      <c r="E60" s="48" t="s">
        <v>57</v>
      </c>
      <c r="F60" s="52">
        <v>560000.0</v>
      </c>
      <c r="G60" s="76">
        <v>0.02</v>
      </c>
      <c r="H60" s="53">
        <v>11200.0</v>
      </c>
      <c r="I60" s="54"/>
      <c r="J60" s="48">
        <v>560.0</v>
      </c>
      <c r="K60" s="48">
        <v>8960.0</v>
      </c>
      <c r="L60" s="54"/>
      <c r="M60" s="48">
        <v>560.0</v>
      </c>
      <c r="N60" s="54"/>
      <c r="O60" s="55">
        <f>H60-K60-M60</f>
        <v>1680</v>
      </c>
      <c r="P60" s="56" t="s">
        <v>179</v>
      </c>
      <c r="Q60" s="48" t="s">
        <v>180</v>
      </c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</row>
    <row r="61">
      <c r="A61" s="49">
        <v>45974.0</v>
      </c>
      <c r="B61" s="50" t="s">
        <v>181</v>
      </c>
      <c r="C61" s="50" t="s">
        <v>69</v>
      </c>
      <c r="D61" s="43" t="s">
        <v>59</v>
      </c>
      <c r="E61" s="48" t="s">
        <v>70</v>
      </c>
      <c r="F61" s="52">
        <v>340000.0</v>
      </c>
      <c r="G61" s="76">
        <v>0.05</v>
      </c>
      <c r="H61" s="53">
        <v>8500.0</v>
      </c>
      <c r="I61" s="48" t="s">
        <v>137</v>
      </c>
      <c r="J61" s="58" t="s">
        <v>151</v>
      </c>
      <c r="K61" s="48">
        <v>4250.0</v>
      </c>
      <c r="L61" s="54"/>
      <c r="M61" s="54">
        <f t="shared" ref="M61:M62" si="17">H61*0.05</f>
        <v>425</v>
      </c>
      <c r="N61" s="54">
        <f t="shared" ref="N61:N63" si="18">H61*0.88-K61-M61</f>
        <v>2805</v>
      </c>
      <c r="O61" s="55">
        <f t="shared" ref="O61:O63" si="19">H61-K61-M61-N61</f>
        <v>1020</v>
      </c>
      <c r="P61" s="56" t="s">
        <v>182</v>
      </c>
      <c r="Q61" s="48" t="s">
        <v>183</v>
      </c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</row>
    <row r="62">
      <c r="A62" s="49">
        <v>45975.0</v>
      </c>
      <c r="B62" s="50" t="s">
        <v>184</v>
      </c>
      <c r="C62" s="50" t="s">
        <v>185</v>
      </c>
      <c r="D62" s="43" t="s">
        <v>59</v>
      </c>
      <c r="E62" s="48" t="s">
        <v>57</v>
      </c>
      <c r="F62" s="52">
        <v>2100000.0</v>
      </c>
      <c r="G62" s="48" t="s">
        <v>186</v>
      </c>
      <c r="H62" s="53">
        <v>21000.0</v>
      </c>
      <c r="I62" s="54"/>
      <c r="J62" s="48">
        <v>2100.0</v>
      </c>
      <c r="K62" s="48">
        <v>10500.0</v>
      </c>
      <c r="L62" s="54"/>
      <c r="M62" s="48">
        <f t="shared" si="17"/>
        <v>1050</v>
      </c>
      <c r="N62" s="54">
        <f t="shared" si="18"/>
        <v>6930</v>
      </c>
      <c r="O62" s="78">
        <f t="shared" si="19"/>
        <v>2520</v>
      </c>
      <c r="P62" s="56" t="s">
        <v>182</v>
      </c>
      <c r="Q62" s="59" t="s">
        <v>187</v>
      </c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</row>
    <row r="63">
      <c r="A63" s="49">
        <v>45975.0</v>
      </c>
      <c r="B63" s="67" t="s">
        <v>188</v>
      </c>
      <c r="C63" s="50" t="s">
        <v>189</v>
      </c>
      <c r="D63" s="43" t="s">
        <v>59</v>
      </c>
      <c r="E63" s="48" t="s">
        <v>57</v>
      </c>
      <c r="F63" s="52">
        <v>1500000.0</v>
      </c>
      <c r="G63" s="76">
        <v>0.02</v>
      </c>
      <c r="H63" s="53">
        <v>30000.0</v>
      </c>
      <c r="I63" s="48" t="s">
        <v>64</v>
      </c>
      <c r="J63" s="48">
        <v>1500.0</v>
      </c>
      <c r="K63" s="48">
        <f>H63*0.5</f>
        <v>15000</v>
      </c>
      <c r="L63" s="54"/>
      <c r="M63" s="48">
        <v>1500.0</v>
      </c>
      <c r="N63" s="54">
        <f t="shared" si="18"/>
        <v>9900</v>
      </c>
      <c r="O63" s="78">
        <f t="shared" si="19"/>
        <v>3600</v>
      </c>
      <c r="P63" s="56" t="s">
        <v>190</v>
      </c>
      <c r="Q63" s="48" t="s">
        <v>191</v>
      </c>
      <c r="R63" s="54"/>
    </row>
    <row r="64">
      <c r="A64" s="49">
        <v>45986.0</v>
      </c>
      <c r="B64" s="50" t="s">
        <v>192</v>
      </c>
      <c r="C64" s="50" t="s">
        <v>164</v>
      </c>
      <c r="D64" s="43" t="s">
        <v>59</v>
      </c>
      <c r="E64" s="48" t="s">
        <v>57</v>
      </c>
      <c r="F64" s="52">
        <v>960000.0</v>
      </c>
      <c r="G64" s="76">
        <v>0.02</v>
      </c>
      <c r="H64" s="53">
        <v>19200.0</v>
      </c>
      <c r="I64" s="48" t="s">
        <v>28</v>
      </c>
      <c r="J64" s="48">
        <v>960.0</v>
      </c>
      <c r="K64" s="54">
        <f>H64*0.8</f>
        <v>15360</v>
      </c>
      <c r="L64" s="54"/>
      <c r="M64" s="48">
        <v>960.0</v>
      </c>
      <c r="N64" s="54"/>
      <c r="O64" s="55">
        <v>3840.0</v>
      </c>
      <c r="P64" s="56" t="s">
        <v>179</v>
      </c>
      <c r="Q64" s="48" t="s">
        <v>193</v>
      </c>
      <c r="R64" s="54"/>
    </row>
    <row r="65">
      <c r="A65" s="49">
        <v>45986.0</v>
      </c>
      <c r="B65" s="50" t="s">
        <v>194</v>
      </c>
      <c r="C65" s="50" t="s">
        <v>79</v>
      </c>
      <c r="D65" s="43" t="s">
        <v>59</v>
      </c>
      <c r="E65" s="48" t="s">
        <v>57</v>
      </c>
      <c r="F65" s="52">
        <v>3600000.0</v>
      </c>
      <c r="G65" s="76">
        <v>0.02</v>
      </c>
      <c r="H65" s="57">
        <v>72000.0</v>
      </c>
      <c r="I65" s="48" t="s">
        <v>28</v>
      </c>
      <c r="J65" s="58">
        <v>3600.0</v>
      </c>
      <c r="K65" s="48">
        <v>9750.0</v>
      </c>
      <c r="L65" s="54"/>
      <c r="M65" s="58">
        <f>H65*0.02</f>
        <v>1440</v>
      </c>
      <c r="N65" s="54"/>
      <c r="O65" s="55">
        <v>6500.0</v>
      </c>
      <c r="P65" s="56" t="s">
        <v>195</v>
      </c>
      <c r="Q65" s="48" t="s">
        <v>196</v>
      </c>
      <c r="R65" s="54"/>
    </row>
    <row r="66">
      <c r="A66" s="49">
        <v>45987.0</v>
      </c>
      <c r="B66" s="79" t="s">
        <v>197</v>
      </c>
      <c r="C66" s="50" t="s">
        <v>198</v>
      </c>
      <c r="D66" s="43" t="s">
        <v>59</v>
      </c>
      <c r="E66" s="48" t="s">
        <v>57</v>
      </c>
      <c r="F66" s="52">
        <v>5500000.0</v>
      </c>
      <c r="G66" s="76">
        <v>0.02</v>
      </c>
      <c r="H66" s="57" t="s">
        <v>199</v>
      </c>
      <c r="I66" s="54"/>
      <c r="J66" s="48">
        <v>5500.0</v>
      </c>
      <c r="K66" s="54">
        <f>140000*0.8</f>
        <v>112000</v>
      </c>
      <c r="L66" s="54"/>
      <c r="M66" s="48">
        <v>7000.0</v>
      </c>
      <c r="N66" s="54"/>
      <c r="O66" s="78">
        <f>140000-K66-M66</f>
        <v>21000</v>
      </c>
      <c r="P66" s="56" t="s">
        <v>179</v>
      </c>
      <c r="Q66" s="48" t="s">
        <v>200</v>
      </c>
      <c r="R66" s="54"/>
    </row>
    <row r="67">
      <c r="A67" s="49">
        <v>45994.0</v>
      </c>
      <c r="B67" s="50" t="s">
        <v>201</v>
      </c>
      <c r="C67" s="50" t="s">
        <v>115</v>
      </c>
      <c r="D67" s="75" t="s">
        <v>116</v>
      </c>
      <c r="E67" s="48" t="s">
        <v>57</v>
      </c>
      <c r="F67" s="72">
        <v>6960000.0</v>
      </c>
      <c r="G67" s="48">
        <v>100000.0</v>
      </c>
      <c r="H67" s="53">
        <v>100000.0</v>
      </c>
      <c r="I67" s="48" t="s">
        <v>28</v>
      </c>
      <c r="J67" s="48">
        <v>5000.0</v>
      </c>
      <c r="K67" s="48">
        <v>90000.0</v>
      </c>
      <c r="L67" s="54"/>
      <c r="M67" s="54"/>
      <c r="N67" s="54"/>
      <c r="O67" s="55">
        <v>10000.0</v>
      </c>
      <c r="P67" s="56" t="s">
        <v>176</v>
      </c>
      <c r="Q67" s="48" t="s">
        <v>202</v>
      </c>
      <c r="R67" s="54"/>
    </row>
    <row r="68">
      <c r="A68" s="49">
        <v>46008.0</v>
      </c>
      <c r="B68" s="82" t="s">
        <v>203</v>
      </c>
      <c r="C68" s="50" t="s">
        <v>204</v>
      </c>
      <c r="D68" s="43" t="s">
        <v>59</v>
      </c>
      <c r="E68" s="48" t="s">
        <v>57</v>
      </c>
      <c r="F68" s="72">
        <v>4200000.0</v>
      </c>
      <c r="G68" s="48">
        <v>84000.0</v>
      </c>
      <c r="H68" s="69"/>
      <c r="I68" s="48" t="s">
        <v>28</v>
      </c>
      <c r="J68" s="48">
        <v>4200.0</v>
      </c>
      <c r="K68" s="48">
        <v>33600.0</v>
      </c>
      <c r="L68" s="54"/>
      <c r="M68" s="54">
        <f t="shared" ref="M68:M69" si="20">G68*0.05</f>
        <v>4200</v>
      </c>
      <c r="N68" s="54">
        <f>G68*0.43</f>
        <v>36120</v>
      </c>
      <c r="O68" s="55">
        <f>G68-K68-M68-N68</f>
        <v>10080</v>
      </c>
      <c r="P68" s="56" t="s">
        <v>182</v>
      </c>
      <c r="Q68" s="48" t="s">
        <v>205</v>
      </c>
      <c r="R68" s="54"/>
    </row>
    <row r="69">
      <c r="A69" s="49">
        <v>46008.0</v>
      </c>
      <c r="B69" s="68" t="s">
        <v>203</v>
      </c>
      <c r="C69" s="50" t="s">
        <v>204</v>
      </c>
      <c r="D69" s="43" t="s">
        <v>59</v>
      </c>
      <c r="E69" s="48" t="s">
        <v>57</v>
      </c>
      <c r="F69" s="72">
        <v>4200000.0</v>
      </c>
      <c r="G69" s="48">
        <v>25000.0</v>
      </c>
      <c r="H69" s="69"/>
      <c r="I69" s="48" t="s">
        <v>28</v>
      </c>
      <c r="J69" s="48">
        <v>0.0</v>
      </c>
      <c r="K69" s="48">
        <v>20000.0</v>
      </c>
      <c r="L69" s="54"/>
      <c r="M69" s="54">
        <f t="shared" si="20"/>
        <v>1250</v>
      </c>
      <c r="N69" s="54"/>
      <c r="O69" s="55">
        <v>5000.0</v>
      </c>
      <c r="P69" s="56" t="s">
        <v>179</v>
      </c>
      <c r="Q69" s="48" t="s">
        <v>206</v>
      </c>
      <c r="R69" s="54"/>
    </row>
    <row r="70">
      <c r="A70" s="49">
        <v>46029.0</v>
      </c>
      <c r="B70" s="50" t="s">
        <v>207</v>
      </c>
      <c r="C70" s="50" t="s">
        <v>208</v>
      </c>
      <c r="D70" s="43" t="s">
        <v>59</v>
      </c>
      <c r="E70" s="48" t="s">
        <v>70</v>
      </c>
      <c r="F70" s="72">
        <v>100000.0</v>
      </c>
      <c r="G70" s="48"/>
      <c r="H70" s="53">
        <v>4000.0</v>
      </c>
      <c r="I70" s="48" t="s">
        <v>28</v>
      </c>
      <c r="J70" s="58" t="s">
        <v>151</v>
      </c>
      <c r="K70" s="48">
        <v>2000.0</v>
      </c>
      <c r="L70" s="54"/>
      <c r="M70" s="54"/>
      <c r="N70" s="54"/>
      <c r="O70" s="55">
        <v>2000.0</v>
      </c>
      <c r="P70" s="56" t="s">
        <v>165</v>
      </c>
      <c r="Q70" s="48" t="s">
        <v>183</v>
      </c>
      <c r="R70" s="54"/>
    </row>
    <row r="71">
      <c r="A71" s="49">
        <v>46034.0</v>
      </c>
      <c r="B71" s="50" t="s">
        <v>209</v>
      </c>
      <c r="C71" s="50" t="s">
        <v>115</v>
      </c>
      <c r="D71" s="75" t="s">
        <v>116</v>
      </c>
      <c r="E71" s="48" t="s">
        <v>57</v>
      </c>
      <c r="F71" s="72">
        <v>2000000.0</v>
      </c>
      <c r="G71" s="58" t="s">
        <v>127</v>
      </c>
      <c r="H71" s="53">
        <v>30000.0</v>
      </c>
      <c r="I71" s="54"/>
      <c r="J71" s="48">
        <v>1500.0</v>
      </c>
      <c r="K71" s="48">
        <v>26400.0</v>
      </c>
      <c r="L71" s="54"/>
      <c r="M71" s="48">
        <v>1500.0</v>
      </c>
      <c r="N71" s="54"/>
      <c r="O71" s="55">
        <v>3600.0</v>
      </c>
      <c r="P71" s="56" t="s">
        <v>176</v>
      </c>
      <c r="Q71" s="48" t="s">
        <v>210</v>
      </c>
      <c r="R71" s="54"/>
    </row>
    <row r="72">
      <c r="A72" s="49">
        <v>46035.0</v>
      </c>
      <c r="B72" s="50" t="s">
        <v>211</v>
      </c>
      <c r="C72" s="50" t="s">
        <v>212</v>
      </c>
      <c r="D72" s="43" t="s">
        <v>59</v>
      </c>
      <c r="E72" s="48" t="s">
        <v>70</v>
      </c>
      <c r="F72" s="72">
        <v>55000.0</v>
      </c>
      <c r="G72" s="48">
        <v>2750.0</v>
      </c>
      <c r="H72" s="53">
        <v>2750.0</v>
      </c>
      <c r="I72" s="48" t="s">
        <v>28</v>
      </c>
      <c r="J72" s="48">
        <v>137.5</v>
      </c>
      <c r="K72" s="48">
        <v>1375.0</v>
      </c>
      <c r="L72" s="54"/>
      <c r="M72" s="48">
        <f t="shared" ref="M72:M74" si="21">H72*0.08</f>
        <v>220</v>
      </c>
      <c r="N72" s="54"/>
      <c r="O72" s="55">
        <f>H72-K72-M72</f>
        <v>1155</v>
      </c>
      <c r="P72" s="56" t="s">
        <v>165</v>
      </c>
      <c r="Q72" s="48" t="s">
        <v>213</v>
      </c>
      <c r="R72" s="54"/>
    </row>
    <row r="73">
      <c r="A73" s="49">
        <v>46036.0</v>
      </c>
      <c r="B73" s="50" t="s">
        <v>214</v>
      </c>
      <c r="C73" s="50" t="s">
        <v>215</v>
      </c>
      <c r="D73" s="43" t="s">
        <v>59</v>
      </c>
      <c r="E73" s="48" t="s">
        <v>57</v>
      </c>
      <c r="F73" s="72">
        <v>3000000.0</v>
      </c>
      <c r="G73" s="76">
        <v>0.02</v>
      </c>
      <c r="H73" s="53">
        <v>57142.0</v>
      </c>
      <c r="I73" s="48" t="s">
        <v>64</v>
      </c>
      <c r="J73" s="48">
        <v>2857.0</v>
      </c>
      <c r="K73" s="58" t="s">
        <v>216</v>
      </c>
      <c r="L73" s="54"/>
      <c r="M73" s="48">
        <f t="shared" si="21"/>
        <v>4571.36</v>
      </c>
      <c r="N73" s="54"/>
      <c r="O73" s="55" t="s">
        <v>217</v>
      </c>
      <c r="P73" s="56" t="s">
        <v>218</v>
      </c>
      <c r="Q73" s="83" t="s">
        <v>219</v>
      </c>
      <c r="R73" s="54"/>
    </row>
    <row r="74">
      <c r="A74" s="49">
        <v>46046.0</v>
      </c>
      <c r="B74" s="50" t="s">
        <v>220</v>
      </c>
      <c r="C74" s="50" t="s">
        <v>189</v>
      </c>
      <c r="D74" s="43" t="s">
        <v>59</v>
      </c>
      <c r="E74" s="48" t="s">
        <v>57</v>
      </c>
      <c r="F74" s="72">
        <v>2450000.0</v>
      </c>
      <c r="G74" s="48">
        <v>95000.0</v>
      </c>
      <c r="H74" s="53">
        <v>95000.0</v>
      </c>
      <c r="I74" s="48" t="s">
        <v>28</v>
      </c>
      <c r="J74" s="48">
        <v>4750.0</v>
      </c>
      <c r="K74" s="48">
        <v>76000.0</v>
      </c>
      <c r="L74" s="54"/>
      <c r="M74" s="48">
        <f t="shared" si="21"/>
        <v>7600</v>
      </c>
      <c r="N74" s="54"/>
      <c r="O74" s="55">
        <v>19000.0</v>
      </c>
      <c r="P74" s="56" t="s">
        <v>221</v>
      </c>
      <c r="Q74" s="48" t="s">
        <v>222</v>
      </c>
      <c r="R74" s="54"/>
    </row>
    <row r="75">
      <c r="A75" s="84">
        <v>45687.0</v>
      </c>
      <c r="B75" s="85" t="s">
        <v>223</v>
      </c>
      <c r="C75" s="48" t="s">
        <v>189</v>
      </c>
      <c r="D75" s="43" t="s">
        <v>59</v>
      </c>
      <c r="E75" s="48" t="s">
        <v>57</v>
      </c>
      <c r="F75" s="72">
        <v>2298500.0</v>
      </c>
      <c r="G75" s="76">
        <v>0.02</v>
      </c>
      <c r="H75" s="53">
        <v>45970.0</v>
      </c>
      <c r="I75" s="54"/>
      <c r="J75" s="48">
        <v>2298.0</v>
      </c>
      <c r="K75" s="48">
        <v>15170.0</v>
      </c>
      <c r="L75" s="54"/>
      <c r="M75" s="48">
        <v>2298.0</v>
      </c>
      <c r="N75" s="48">
        <v>22985.0</v>
      </c>
      <c r="O75" s="55">
        <f>H75-K75-M75</f>
        <v>28502</v>
      </c>
      <c r="P75" s="56" t="s">
        <v>224</v>
      </c>
      <c r="Q75" s="48" t="s">
        <v>225</v>
      </c>
      <c r="R75" s="54"/>
    </row>
    <row r="76">
      <c r="A76" s="49">
        <v>46060.0</v>
      </c>
      <c r="B76" s="86" t="s">
        <v>226</v>
      </c>
      <c r="C76" s="50" t="s">
        <v>227</v>
      </c>
      <c r="D76" s="43" t="s">
        <v>59</v>
      </c>
      <c r="E76" s="48" t="s">
        <v>57</v>
      </c>
      <c r="F76" s="52">
        <v>975000.0</v>
      </c>
      <c r="G76" s="76">
        <v>0.02</v>
      </c>
      <c r="H76" s="53">
        <v>19500.0</v>
      </c>
      <c r="I76" s="54"/>
      <c r="J76" s="48">
        <v>975.0</v>
      </c>
      <c r="K76" s="48">
        <v>15600.0</v>
      </c>
      <c r="L76" s="54"/>
      <c r="M76" s="54"/>
      <c r="N76" s="54"/>
      <c r="O76" s="55">
        <v>3900.0</v>
      </c>
      <c r="P76" s="56" t="s">
        <v>228</v>
      </c>
      <c r="Q76" s="83" t="s">
        <v>229</v>
      </c>
      <c r="R76" s="54"/>
    </row>
    <row r="77">
      <c r="A77" s="49">
        <v>46066.0</v>
      </c>
      <c r="B77" s="50" t="s">
        <v>230</v>
      </c>
      <c r="C77" s="50" t="s">
        <v>231</v>
      </c>
      <c r="D77" s="56" t="s">
        <v>232</v>
      </c>
      <c r="E77" s="48" t="s">
        <v>70</v>
      </c>
      <c r="F77" s="52" t="s">
        <v>233</v>
      </c>
      <c r="G77" s="76">
        <v>0.02</v>
      </c>
      <c r="H77" s="53">
        <v>130520.0</v>
      </c>
      <c r="I77" s="54"/>
      <c r="J77" s="48">
        <v>6526.0</v>
      </c>
      <c r="K77" s="48">
        <v>65260.0</v>
      </c>
      <c r="L77" s="54"/>
      <c r="M77" s="54"/>
      <c r="N77" s="54">
        <f>H77*0.25</f>
        <v>32630</v>
      </c>
      <c r="O77" s="55">
        <f>H77-K77-N77</f>
        <v>32630</v>
      </c>
      <c r="P77" s="56" t="s">
        <v>228</v>
      </c>
      <c r="Q77" s="83" t="s">
        <v>234</v>
      </c>
      <c r="R77" s="54"/>
    </row>
    <row r="78">
      <c r="A78" s="49">
        <v>46067.0</v>
      </c>
      <c r="B78" s="50" t="s">
        <v>235</v>
      </c>
      <c r="C78" s="50" t="s">
        <v>79</v>
      </c>
      <c r="D78" s="43" t="s">
        <v>59</v>
      </c>
      <c r="E78" s="48" t="s">
        <v>70</v>
      </c>
      <c r="F78" s="52">
        <v>64000.0</v>
      </c>
      <c r="G78" s="48">
        <v>10000.0</v>
      </c>
      <c r="H78" s="53">
        <v>10000.0</v>
      </c>
      <c r="I78" s="48" t="s">
        <v>28</v>
      </c>
      <c r="J78" s="48">
        <v>500.0</v>
      </c>
      <c r="K78" s="48">
        <v>6500.0</v>
      </c>
      <c r="L78" s="54"/>
      <c r="M78" s="54"/>
      <c r="N78" s="48" t="s">
        <v>236</v>
      </c>
      <c r="O78" s="55">
        <v>3500.0</v>
      </c>
      <c r="P78" s="56" t="s">
        <v>165</v>
      </c>
      <c r="Q78" s="48" t="s">
        <v>237</v>
      </c>
      <c r="R78" s="54"/>
    </row>
    <row r="79">
      <c r="A79" s="49">
        <v>46073.0</v>
      </c>
      <c r="B79" s="50" t="s">
        <v>238</v>
      </c>
      <c r="C79" s="50" t="s">
        <v>104</v>
      </c>
      <c r="D79" s="43" t="s">
        <v>59</v>
      </c>
      <c r="E79" s="48" t="s">
        <v>57</v>
      </c>
      <c r="F79" s="52">
        <v>2000000.0</v>
      </c>
      <c r="G79" s="76">
        <v>0.02</v>
      </c>
      <c r="H79" s="53">
        <v>40000.0</v>
      </c>
      <c r="I79" s="48" t="s">
        <v>64</v>
      </c>
      <c r="J79" s="48">
        <v>2000.0</v>
      </c>
      <c r="K79" s="48">
        <v>20000.0</v>
      </c>
      <c r="L79" s="54"/>
      <c r="M79" s="54"/>
      <c r="N79" s="54"/>
      <c r="O79" s="55">
        <v>20000.0</v>
      </c>
      <c r="P79" s="56" t="s">
        <v>165</v>
      </c>
      <c r="Q79" s="83" t="s">
        <v>239</v>
      </c>
      <c r="R79" s="54"/>
    </row>
    <row r="80">
      <c r="A80" s="84">
        <v>46080.0</v>
      </c>
      <c r="B80" s="48" t="s">
        <v>240</v>
      </c>
      <c r="C80" s="48" t="s">
        <v>232</v>
      </c>
      <c r="D80" s="54"/>
      <c r="E80" s="48" t="s">
        <v>57</v>
      </c>
      <c r="F80" s="52">
        <v>1450000.0</v>
      </c>
      <c r="G80" s="76">
        <v>0.01</v>
      </c>
      <c r="H80" s="53">
        <v>14500.0</v>
      </c>
      <c r="I80" s="54"/>
      <c r="J80" s="48">
        <v>725.0</v>
      </c>
      <c r="K80" s="54"/>
      <c r="L80" s="54"/>
      <c r="M80" s="54"/>
      <c r="N80" s="54"/>
      <c r="O80" s="69"/>
      <c r="P80" s="56" t="s">
        <v>228</v>
      </c>
      <c r="Q80" s="48" t="s">
        <v>241</v>
      </c>
      <c r="R80" s="54"/>
    </row>
    <row r="81">
      <c r="A81" s="84">
        <v>46099.0</v>
      </c>
      <c r="B81" s="87" t="s">
        <v>242</v>
      </c>
      <c r="C81" s="48" t="s">
        <v>243</v>
      </c>
      <c r="D81" s="43" t="s">
        <v>59</v>
      </c>
      <c r="E81" s="48" t="s">
        <v>57</v>
      </c>
      <c r="F81" s="52">
        <v>5.1E7</v>
      </c>
      <c r="G81" s="76">
        <v>0.02</v>
      </c>
      <c r="H81" s="53">
        <v>1020000.0</v>
      </c>
      <c r="I81" s="54"/>
      <c r="J81" s="48">
        <v>51000.0</v>
      </c>
      <c r="K81" s="48">
        <v>816000.0</v>
      </c>
      <c r="L81" s="54"/>
      <c r="M81" s="54">
        <f t="shared" ref="M81:M84" si="22">H81*0.06</f>
        <v>61200</v>
      </c>
      <c r="N81" s="54"/>
      <c r="O81" s="55">
        <f t="shared" ref="O81:O84" si="23">H81-K81-M81</f>
        <v>142800</v>
      </c>
      <c r="P81" s="56" t="s">
        <v>228</v>
      </c>
      <c r="Q81" s="48" t="s">
        <v>244</v>
      </c>
      <c r="R81" s="54"/>
    </row>
    <row r="82">
      <c r="A82" s="84">
        <v>46105.0</v>
      </c>
      <c r="B82" s="87" t="s">
        <v>245</v>
      </c>
      <c r="C82" s="48" t="s">
        <v>79</v>
      </c>
      <c r="D82" s="43" t="s">
        <v>59</v>
      </c>
      <c r="E82" s="48" t="s">
        <v>57</v>
      </c>
      <c r="F82" s="52" t="s">
        <v>246</v>
      </c>
      <c r="G82" s="58" t="s">
        <v>247</v>
      </c>
      <c r="H82" s="57">
        <v>10000.0</v>
      </c>
      <c r="I82" s="54"/>
      <c r="J82" s="58" t="s">
        <v>151</v>
      </c>
      <c r="K82" s="48">
        <v>8000.0</v>
      </c>
      <c r="L82" s="54"/>
      <c r="M82" s="54">
        <f t="shared" si="22"/>
        <v>600</v>
      </c>
      <c r="N82" s="54"/>
      <c r="O82" s="55">
        <f t="shared" si="23"/>
        <v>1400</v>
      </c>
      <c r="P82" s="56" t="s">
        <v>228</v>
      </c>
      <c r="Q82" s="48" t="s">
        <v>244</v>
      </c>
      <c r="R82" s="54"/>
    </row>
    <row r="83">
      <c r="A83" s="84">
        <v>46112.0</v>
      </c>
      <c r="B83" s="88" t="s">
        <v>248</v>
      </c>
      <c r="C83" s="48" t="s">
        <v>249</v>
      </c>
      <c r="D83" s="43" t="s">
        <v>59</v>
      </c>
      <c r="E83" s="48" t="s">
        <v>57</v>
      </c>
      <c r="F83" s="52">
        <v>1790000.0</v>
      </c>
      <c r="G83" s="76">
        <v>0.02</v>
      </c>
      <c r="H83" s="53">
        <v>35800.0</v>
      </c>
      <c r="I83" s="54"/>
      <c r="J83" s="48">
        <v>1790.0</v>
      </c>
      <c r="K83" s="48">
        <v>14320.0</v>
      </c>
      <c r="L83" s="54"/>
      <c r="M83" s="54">
        <f t="shared" si="22"/>
        <v>2148</v>
      </c>
      <c r="N83" s="54"/>
      <c r="O83" s="55">
        <f t="shared" si="23"/>
        <v>19332</v>
      </c>
      <c r="P83" s="56" t="s">
        <v>182</v>
      </c>
      <c r="Q83" s="48" t="s">
        <v>250</v>
      </c>
      <c r="R83" s="54"/>
    </row>
    <row r="84">
      <c r="A84" s="84">
        <v>46115.0</v>
      </c>
      <c r="B84" s="87" t="s">
        <v>251</v>
      </c>
      <c r="C84" s="48" t="s">
        <v>249</v>
      </c>
      <c r="D84" s="43" t="s">
        <v>59</v>
      </c>
      <c r="E84" s="48" t="s">
        <v>57</v>
      </c>
      <c r="F84" s="52">
        <v>1800000.0</v>
      </c>
      <c r="G84" s="76">
        <v>0.02</v>
      </c>
      <c r="H84" s="53">
        <v>36000.0</v>
      </c>
      <c r="I84" s="54"/>
      <c r="J84" s="48">
        <v>1800.0</v>
      </c>
      <c r="K84" s="48">
        <v>14400.0</v>
      </c>
      <c r="L84" s="54"/>
      <c r="M84" s="54">
        <f t="shared" si="22"/>
        <v>2160</v>
      </c>
      <c r="N84" s="54"/>
      <c r="O84" s="55">
        <f t="shared" si="23"/>
        <v>19440</v>
      </c>
      <c r="P84" s="56" t="s">
        <v>182</v>
      </c>
      <c r="Q84" s="48" t="s">
        <v>250</v>
      </c>
      <c r="R84" s="54"/>
    </row>
    <row r="85">
      <c r="A85" s="84"/>
      <c r="B85" s="54"/>
      <c r="C85" s="54"/>
      <c r="D85" s="54"/>
      <c r="E85" s="54"/>
      <c r="F85" s="89"/>
      <c r="G85" s="54"/>
      <c r="H85" s="69"/>
      <c r="I85" s="54"/>
      <c r="J85" s="54"/>
      <c r="K85" s="54"/>
      <c r="L85" s="54"/>
      <c r="M85" s="54"/>
      <c r="N85" s="54"/>
      <c r="O85" s="69"/>
      <c r="P85" s="80"/>
      <c r="Q85" s="54"/>
      <c r="R85" s="54"/>
    </row>
    <row r="86">
      <c r="A86" s="90"/>
      <c r="B86" s="54"/>
      <c r="C86" s="54"/>
      <c r="D86" s="54"/>
      <c r="E86" s="54"/>
      <c r="F86" s="89"/>
      <c r="G86" s="54"/>
      <c r="H86" s="69"/>
      <c r="I86" s="54"/>
      <c r="J86" s="54"/>
      <c r="K86" s="54"/>
      <c r="L86" s="54"/>
      <c r="M86" s="54"/>
      <c r="N86" s="54"/>
      <c r="O86" s="69"/>
      <c r="P86" s="80"/>
      <c r="Q86" s="54"/>
      <c r="R86" s="54"/>
    </row>
    <row r="87">
      <c r="A87" s="90"/>
      <c r="B87" s="54"/>
      <c r="C87" s="54"/>
      <c r="D87" s="54"/>
      <c r="E87" s="54"/>
      <c r="F87" s="89"/>
      <c r="G87" s="54"/>
      <c r="H87" s="69"/>
      <c r="I87" s="54"/>
      <c r="J87" s="54"/>
      <c r="K87" s="54"/>
      <c r="L87" s="54"/>
      <c r="M87" s="54"/>
      <c r="N87" s="54"/>
      <c r="O87" s="69"/>
      <c r="P87" s="54"/>
      <c r="Q87" s="54"/>
      <c r="R87" s="54"/>
    </row>
    <row r="88">
      <c r="A88" s="90"/>
      <c r="B88" s="54"/>
      <c r="C88" s="54"/>
      <c r="D88" s="54"/>
      <c r="E88" s="54"/>
      <c r="F88" s="89"/>
      <c r="G88" s="54"/>
      <c r="H88" s="69"/>
      <c r="I88" s="54"/>
      <c r="J88" s="54"/>
      <c r="K88" s="54"/>
      <c r="L88" s="54"/>
      <c r="M88" s="54"/>
      <c r="N88" s="54"/>
      <c r="O88" s="69"/>
      <c r="P88" s="54"/>
      <c r="Q88" s="54"/>
      <c r="R88" s="54"/>
    </row>
    <row r="89">
      <c r="A89" s="90"/>
      <c r="B89" s="54"/>
      <c r="C89" s="54"/>
      <c r="D89" s="54"/>
      <c r="E89" s="54"/>
      <c r="F89" s="89"/>
      <c r="G89" s="54"/>
      <c r="H89" s="69"/>
      <c r="I89" s="54"/>
      <c r="J89" s="54"/>
      <c r="K89" s="54"/>
      <c r="L89" s="54"/>
      <c r="M89" s="54"/>
      <c r="N89" s="54"/>
      <c r="O89" s="69"/>
      <c r="P89" s="54"/>
      <c r="Q89" s="54"/>
      <c r="R89" s="54"/>
    </row>
    <row r="90">
      <c r="A90" s="90"/>
      <c r="B90" s="54"/>
      <c r="C90" s="54"/>
      <c r="D90" s="54"/>
      <c r="E90" s="54"/>
      <c r="F90" s="89"/>
      <c r="G90" s="54"/>
      <c r="H90" s="69"/>
      <c r="I90" s="54"/>
      <c r="J90" s="54"/>
      <c r="K90" s="54"/>
      <c r="L90" s="54"/>
      <c r="M90" s="54"/>
      <c r="N90" s="54"/>
      <c r="O90" s="69"/>
      <c r="P90" s="54"/>
      <c r="Q90" s="54"/>
      <c r="R90" s="54"/>
    </row>
    <row r="91">
      <c r="A91" s="90"/>
      <c r="B91" s="54"/>
      <c r="C91" s="54"/>
      <c r="D91" s="54"/>
      <c r="E91" s="54"/>
      <c r="F91" s="89"/>
      <c r="G91" s="54"/>
      <c r="H91" s="69"/>
      <c r="I91" s="54"/>
      <c r="J91" s="54"/>
      <c r="K91" s="54"/>
      <c r="L91" s="54"/>
      <c r="M91" s="54"/>
      <c r="N91" s="54"/>
      <c r="O91" s="69"/>
      <c r="P91" s="54"/>
      <c r="Q91" s="54"/>
      <c r="R91" s="54"/>
    </row>
    <row r="92">
      <c r="A92" s="90"/>
      <c r="B92" s="54"/>
      <c r="C92" s="54"/>
      <c r="D92" s="54"/>
      <c r="E92" s="54"/>
      <c r="F92" s="91"/>
      <c r="G92" s="54"/>
      <c r="H92" s="69"/>
      <c r="I92" s="54"/>
      <c r="J92" s="54"/>
      <c r="K92" s="54"/>
      <c r="L92" s="54"/>
      <c r="M92" s="54"/>
      <c r="N92" s="54"/>
      <c r="O92" s="69"/>
      <c r="P92" s="54"/>
      <c r="Q92" s="54"/>
      <c r="R92" s="54"/>
    </row>
    <row r="93">
      <c r="A93" s="90"/>
      <c r="B93" s="54"/>
      <c r="C93" s="54"/>
      <c r="D93" s="54"/>
      <c r="E93" s="54"/>
      <c r="F93" s="91"/>
      <c r="G93" s="48" t="s">
        <v>236</v>
      </c>
      <c r="H93" s="69"/>
      <c r="I93" s="54"/>
      <c r="J93" s="54"/>
      <c r="K93" s="54"/>
      <c r="L93" s="54"/>
      <c r="M93" s="54"/>
      <c r="N93" s="54"/>
      <c r="O93" s="69"/>
      <c r="P93" s="54"/>
      <c r="Q93" s="54"/>
      <c r="R93" s="54"/>
    </row>
    <row r="94">
      <c r="A94" s="90"/>
      <c r="B94" s="54"/>
      <c r="C94" s="54"/>
      <c r="D94" s="54"/>
      <c r="E94" s="54"/>
      <c r="F94" s="91"/>
      <c r="G94" s="54"/>
      <c r="H94" s="69"/>
      <c r="I94" s="54"/>
      <c r="J94" s="54"/>
      <c r="K94" s="54"/>
      <c r="L94" s="54"/>
      <c r="M94" s="54"/>
      <c r="N94" s="54"/>
      <c r="O94" s="69"/>
      <c r="P94" s="54"/>
      <c r="Q94" s="54"/>
      <c r="R94" s="54"/>
    </row>
    <row r="95">
      <c r="A95" s="90"/>
      <c r="B95" s="88"/>
      <c r="C95" s="54"/>
      <c r="D95" s="54"/>
      <c r="E95" s="54"/>
      <c r="F95" s="91"/>
      <c r="G95" s="54"/>
      <c r="H95" s="69"/>
      <c r="I95" s="54"/>
      <c r="J95" s="54"/>
      <c r="K95" s="54"/>
      <c r="L95" s="54"/>
      <c r="M95" s="54"/>
      <c r="N95" s="54"/>
      <c r="O95" s="69"/>
      <c r="P95" s="54"/>
      <c r="Q95" s="54"/>
      <c r="R95" s="54"/>
    </row>
    <row r="96">
      <c r="A96" s="90"/>
      <c r="B96" s="92"/>
      <c r="C96" s="54"/>
      <c r="D96" s="54"/>
      <c r="E96" s="54"/>
      <c r="F96" s="91"/>
      <c r="G96" s="54"/>
      <c r="H96" s="69"/>
      <c r="I96" s="54"/>
      <c r="J96" s="54"/>
      <c r="K96" s="54"/>
      <c r="L96" s="54"/>
      <c r="M96" s="54"/>
      <c r="N96" s="54"/>
      <c r="O96" s="69"/>
      <c r="P96" s="54"/>
      <c r="Q96" s="54"/>
      <c r="R96" s="54"/>
    </row>
    <row r="97">
      <c r="A97" s="90"/>
      <c r="B97" s="63"/>
      <c r="C97" s="54"/>
      <c r="D97" s="54"/>
      <c r="E97" s="54"/>
      <c r="F97" s="91"/>
      <c r="G97" s="54"/>
      <c r="H97" s="69"/>
      <c r="I97" s="54"/>
      <c r="J97" s="54"/>
      <c r="K97" s="54"/>
      <c r="L97" s="54"/>
      <c r="M97" s="54"/>
      <c r="N97" s="54"/>
      <c r="O97" s="69"/>
      <c r="P97" s="54"/>
      <c r="Q97" s="54"/>
      <c r="R97" s="54"/>
    </row>
    <row r="98">
      <c r="A98" s="90"/>
      <c r="B98" s="63"/>
      <c r="C98" s="54"/>
      <c r="D98" s="54"/>
      <c r="E98" s="54"/>
      <c r="F98" s="91"/>
      <c r="G98" s="54"/>
      <c r="H98" s="69"/>
      <c r="I98" s="54"/>
      <c r="J98" s="54"/>
      <c r="K98" s="54"/>
      <c r="L98" s="54"/>
      <c r="M98" s="54"/>
      <c r="N98" s="54"/>
      <c r="O98" s="69"/>
      <c r="P98" s="54"/>
      <c r="Q98" s="54"/>
      <c r="R98" s="54"/>
    </row>
    <row r="99">
      <c r="A99" s="90"/>
      <c r="B99" s="63"/>
      <c r="C99" s="54"/>
      <c r="D99" s="54"/>
      <c r="E99" s="54"/>
      <c r="F99" s="91"/>
      <c r="G99" s="54"/>
      <c r="H99" s="69"/>
      <c r="I99" s="54"/>
      <c r="J99" s="54"/>
      <c r="K99" s="54"/>
      <c r="L99" s="54"/>
      <c r="M99" s="54"/>
      <c r="N99" s="54"/>
      <c r="O99" s="69"/>
      <c r="P99" s="54"/>
      <c r="Q99" s="54"/>
      <c r="R99" s="54"/>
    </row>
    <row r="100">
      <c r="A100" s="90"/>
      <c r="B100" s="63"/>
      <c r="C100" s="54"/>
      <c r="D100" s="54"/>
      <c r="E100" s="54"/>
      <c r="F100" s="91"/>
      <c r="G100" s="54"/>
      <c r="H100" s="69"/>
      <c r="I100" s="54"/>
      <c r="J100" s="54"/>
      <c r="K100" s="54"/>
      <c r="L100" s="54"/>
      <c r="M100" s="54"/>
      <c r="N100" s="54"/>
      <c r="O100" s="69"/>
      <c r="P100" s="54"/>
      <c r="Q100" s="54"/>
      <c r="R100" s="54"/>
    </row>
    <row r="101">
      <c r="A101" s="90"/>
      <c r="B101" s="54"/>
      <c r="C101" s="54"/>
      <c r="D101" s="54"/>
      <c r="E101" s="54"/>
      <c r="F101" s="91"/>
      <c r="G101" s="54"/>
      <c r="H101" s="69"/>
      <c r="I101" s="54"/>
      <c r="J101" s="54"/>
      <c r="K101" s="54"/>
      <c r="L101" s="54"/>
      <c r="M101" s="54"/>
      <c r="N101" s="54"/>
      <c r="O101" s="69"/>
      <c r="P101" s="54"/>
      <c r="Q101" s="54"/>
      <c r="R101" s="54"/>
    </row>
    <row r="102">
      <c r="A102" s="90"/>
      <c r="B102" s="54"/>
      <c r="C102" s="54"/>
      <c r="D102" s="54"/>
      <c r="E102" s="54"/>
      <c r="F102" s="91"/>
      <c r="G102" s="54"/>
      <c r="H102" s="69"/>
      <c r="I102" s="54"/>
      <c r="J102" s="54"/>
      <c r="K102" s="54"/>
      <c r="L102" s="54"/>
      <c r="M102" s="54"/>
      <c r="N102" s="54"/>
      <c r="O102" s="69"/>
      <c r="P102" s="54"/>
      <c r="Q102" s="54"/>
      <c r="R102" s="54"/>
    </row>
    <row r="103">
      <c r="A103" s="90"/>
      <c r="B103" s="54"/>
      <c r="C103" s="54"/>
      <c r="D103" s="54"/>
      <c r="E103" s="54"/>
      <c r="F103" s="91"/>
      <c r="G103" s="54"/>
      <c r="H103" s="69"/>
      <c r="I103" s="54"/>
      <c r="J103" s="54"/>
      <c r="K103" s="54"/>
      <c r="L103" s="54"/>
      <c r="M103" s="54"/>
      <c r="N103" s="54"/>
      <c r="O103" s="69"/>
      <c r="P103" s="54"/>
      <c r="Q103" s="54"/>
      <c r="R103" s="54"/>
    </row>
    <row r="104">
      <c r="A104" s="90"/>
      <c r="B104" s="54"/>
      <c r="C104" s="54"/>
      <c r="D104" s="54"/>
      <c r="E104" s="54"/>
      <c r="F104" s="91"/>
      <c r="G104" s="54"/>
      <c r="H104" s="69"/>
      <c r="I104" s="54"/>
      <c r="J104" s="54"/>
      <c r="K104" s="54"/>
      <c r="L104" s="54"/>
      <c r="M104" s="54"/>
      <c r="N104" s="54"/>
      <c r="O104" s="69"/>
      <c r="P104" s="54"/>
      <c r="Q104" s="54"/>
      <c r="R104" s="54"/>
    </row>
    <row r="105">
      <c r="A105" s="90"/>
      <c r="B105" s="54"/>
      <c r="C105" s="54"/>
      <c r="D105" s="54"/>
      <c r="E105" s="54"/>
      <c r="F105" s="91"/>
      <c r="G105" s="54"/>
      <c r="H105" s="69"/>
      <c r="I105" s="54"/>
      <c r="J105" s="54"/>
      <c r="K105" s="54"/>
      <c r="L105" s="54"/>
      <c r="M105" s="54"/>
      <c r="N105" s="54"/>
      <c r="O105" s="69"/>
      <c r="P105" s="54"/>
      <c r="Q105" s="54"/>
      <c r="R105" s="54"/>
    </row>
    <row r="106">
      <c r="A106" s="90"/>
      <c r="B106" s="54"/>
      <c r="C106" s="54"/>
      <c r="D106" s="54"/>
      <c r="E106" s="54"/>
      <c r="F106" s="91"/>
      <c r="G106" s="54"/>
      <c r="H106" s="69"/>
      <c r="I106" s="54"/>
      <c r="J106" s="54"/>
      <c r="K106" s="54"/>
      <c r="L106" s="54"/>
      <c r="M106" s="54"/>
      <c r="N106" s="54"/>
      <c r="O106" s="69"/>
      <c r="P106" s="54"/>
      <c r="Q106" s="54"/>
      <c r="R106" s="54"/>
    </row>
    <row r="107">
      <c r="A107" s="90"/>
      <c r="B107" s="54"/>
      <c r="C107" s="54"/>
      <c r="D107" s="54"/>
      <c r="E107" s="54"/>
      <c r="F107" s="91"/>
      <c r="G107" s="54"/>
      <c r="H107" s="69"/>
      <c r="I107" s="54"/>
      <c r="J107" s="54"/>
      <c r="K107" s="54"/>
      <c r="L107" s="54"/>
      <c r="M107" s="54"/>
      <c r="N107" s="54"/>
      <c r="O107" s="69"/>
      <c r="P107" s="54"/>
      <c r="Q107" s="54"/>
      <c r="R107" s="54"/>
    </row>
    <row r="108">
      <c r="A108" s="90"/>
      <c r="B108" s="54"/>
      <c r="C108" s="54"/>
      <c r="D108" s="54"/>
      <c r="E108" s="54"/>
      <c r="F108" s="91"/>
      <c r="G108" s="54"/>
      <c r="H108" s="69"/>
      <c r="I108" s="54"/>
      <c r="J108" s="54"/>
      <c r="K108" s="54"/>
      <c r="L108" s="54"/>
      <c r="M108" s="54"/>
      <c r="N108" s="54"/>
      <c r="O108" s="69"/>
      <c r="P108" s="54"/>
      <c r="Q108" s="54"/>
      <c r="R108" s="54"/>
    </row>
    <row r="109">
      <c r="A109" s="90"/>
      <c r="B109" s="54"/>
      <c r="C109" s="54"/>
      <c r="D109" s="54"/>
      <c r="E109" s="54"/>
      <c r="F109" s="91"/>
      <c r="G109" s="54"/>
      <c r="H109" s="69"/>
      <c r="I109" s="54"/>
      <c r="J109" s="54"/>
      <c r="K109" s="54"/>
      <c r="L109" s="54"/>
      <c r="M109" s="54"/>
      <c r="N109" s="54"/>
      <c r="O109" s="69"/>
      <c r="P109" s="54"/>
      <c r="Q109" s="54"/>
      <c r="R109" s="54"/>
    </row>
    <row r="110">
      <c r="A110" s="90"/>
      <c r="B110" s="54"/>
      <c r="C110" s="54"/>
      <c r="D110" s="54"/>
      <c r="E110" s="54"/>
      <c r="F110" s="91"/>
      <c r="G110" s="54"/>
      <c r="H110" s="69"/>
      <c r="I110" s="54"/>
      <c r="J110" s="54"/>
      <c r="K110" s="54"/>
      <c r="L110" s="54"/>
      <c r="M110" s="54"/>
      <c r="N110" s="54"/>
      <c r="O110" s="69"/>
      <c r="P110" s="54"/>
      <c r="Q110" s="54"/>
      <c r="R110" s="54"/>
    </row>
    <row r="111">
      <c r="A111" s="90"/>
      <c r="B111" s="54"/>
      <c r="C111" s="54"/>
      <c r="D111" s="54"/>
      <c r="E111" s="54"/>
      <c r="F111" s="91"/>
      <c r="G111" s="54"/>
      <c r="H111" s="69"/>
      <c r="I111" s="54"/>
      <c r="J111" s="54"/>
      <c r="K111" s="54"/>
      <c r="L111" s="54"/>
      <c r="M111" s="54"/>
      <c r="N111" s="54"/>
      <c r="O111" s="69"/>
      <c r="P111" s="54"/>
      <c r="Q111" s="54"/>
      <c r="R111" s="54"/>
    </row>
    <row r="112">
      <c r="A112" s="90"/>
      <c r="B112" s="54"/>
      <c r="C112" s="54"/>
      <c r="D112" s="54"/>
      <c r="E112" s="54"/>
      <c r="F112" s="91"/>
      <c r="G112" s="54"/>
      <c r="H112" s="69"/>
      <c r="I112" s="54"/>
      <c r="J112" s="54"/>
      <c r="K112" s="54"/>
      <c r="L112" s="54"/>
      <c r="M112" s="54"/>
      <c r="N112" s="54"/>
      <c r="O112" s="69"/>
      <c r="P112" s="54"/>
      <c r="Q112" s="54"/>
      <c r="R112" s="54"/>
    </row>
    <row r="113">
      <c r="A113" s="90"/>
      <c r="B113" s="54"/>
      <c r="C113" s="54"/>
      <c r="D113" s="54"/>
      <c r="E113" s="54"/>
      <c r="F113" s="91"/>
      <c r="G113" s="54"/>
      <c r="H113" s="69"/>
      <c r="I113" s="54"/>
      <c r="J113" s="54"/>
      <c r="K113" s="54"/>
      <c r="L113" s="54"/>
      <c r="M113" s="54"/>
      <c r="N113" s="54"/>
      <c r="O113" s="69"/>
      <c r="P113" s="54"/>
      <c r="Q113" s="54"/>
      <c r="R113" s="54"/>
    </row>
    <row r="114">
      <c r="A114" s="90"/>
      <c r="B114" s="54"/>
      <c r="C114" s="54"/>
      <c r="D114" s="54"/>
      <c r="E114" s="54"/>
      <c r="F114" s="91"/>
      <c r="G114" s="54"/>
      <c r="H114" s="69"/>
      <c r="I114" s="54"/>
      <c r="J114" s="54"/>
      <c r="K114" s="54"/>
      <c r="L114" s="54"/>
      <c r="M114" s="54"/>
      <c r="N114" s="54"/>
      <c r="O114" s="69"/>
      <c r="P114" s="54"/>
      <c r="Q114" s="54"/>
      <c r="R114" s="54"/>
    </row>
    <row r="115">
      <c r="A115" s="90"/>
      <c r="B115" s="54"/>
      <c r="C115" s="54"/>
      <c r="D115" s="54"/>
      <c r="E115" s="54"/>
      <c r="F115" s="91"/>
      <c r="G115" s="54"/>
      <c r="H115" s="69"/>
      <c r="I115" s="54"/>
      <c r="J115" s="54"/>
      <c r="K115" s="54"/>
      <c r="L115" s="54"/>
      <c r="M115" s="54"/>
      <c r="N115" s="54"/>
      <c r="O115" s="69"/>
      <c r="P115" s="54"/>
      <c r="Q115" s="54"/>
      <c r="R115" s="54"/>
    </row>
    <row r="116">
      <c r="A116" s="90"/>
      <c r="B116" s="54"/>
      <c r="C116" s="54"/>
      <c r="D116" s="54"/>
      <c r="E116" s="54"/>
      <c r="F116" s="91"/>
      <c r="G116" s="54"/>
      <c r="H116" s="69"/>
      <c r="I116" s="54"/>
      <c r="J116" s="54"/>
      <c r="K116" s="54"/>
      <c r="L116" s="54"/>
      <c r="M116" s="54"/>
      <c r="N116" s="54"/>
      <c r="O116" s="69"/>
      <c r="P116" s="54"/>
      <c r="Q116" s="54"/>
      <c r="R116" s="54"/>
    </row>
    <row r="117">
      <c r="A117" s="90"/>
      <c r="B117" s="54"/>
      <c r="C117" s="54"/>
      <c r="D117" s="54"/>
      <c r="E117" s="54"/>
      <c r="F117" s="91"/>
      <c r="G117" s="54"/>
      <c r="H117" s="69"/>
      <c r="I117" s="54"/>
      <c r="J117" s="54"/>
      <c r="K117" s="54"/>
      <c r="L117" s="54"/>
      <c r="M117" s="54"/>
      <c r="N117" s="54"/>
      <c r="O117" s="69"/>
      <c r="P117" s="54"/>
      <c r="Q117" s="54"/>
      <c r="R117" s="54"/>
    </row>
    <row r="118">
      <c r="A118" s="90"/>
      <c r="B118" s="54"/>
      <c r="C118" s="54"/>
      <c r="D118" s="54"/>
      <c r="E118" s="54"/>
      <c r="F118" s="91"/>
      <c r="G118" s="54"/>
      <c r="H118" s="69"/>
      <c r="I118" s="54"/>
      <c r="J118" s="54"/>
      <c r="K118" s="54"/>
      <c r="L118" s="54"/>
      <c r="M118" s="54"/>
      <c r="N118" s="54"/>
      <c r="O118" s="69"/>
      <c r="P118" s="54"/>
      <c r="Q118" s="54"/>
      <c r="R118" s="54"/>
    </row>
    <row r="119">
      <c r="A119" s="90"/>
      <c r="B119" s="54"/>
      <c r="C119" s="54"/>
      <c r="D119" s="54"/>
      <c r="E119" s="54"/>
      <c r="F119" s="91"/>
      <c r="G119" s="54"/>
      <c r="H119" s="69"/>
      <c r="I119" s="54"/>
      <c r="J119" s="54"/>
      <c r="K119" s="54"/>
      <c r="L119" s="54"/>
      <c r="M119" s="54"/>
      <c r="N119" s="54"/>
      <c r="O119" s="69"/>
      <c r="P119" s="54"/>
      <c r="Q119" s="54"/>
      <c r="R119" s="54"/>
    </row>
    <row r="120">
      <c r="A120" s="90"/>
      <c r="B120" s="54"/>
      <c r="C120" s="54"/>
      <c r="D120" s="54"/>
      <c r="E120" s="54"/>
      <c r="F120" s="91"/>
      <c r="G120" s="54"/>
      <c r="H120" s="69"/>
      <c r="I120" s="54"/>
      <c r="J120" s="54"/>
      <c r="K120" s="54"/>
      <c r="L120" s="54"/>
      <c r="M120" s="54"/>
      <c r="N120" s="54"/>
      <c r="O120" s="69"/>
      <c r="P120" s="54"/>
      <c r="Q120" s="54"/>
      <c r="R120" s="54"/>
    </row>
    <row r="121">
      <c r="A121" s="90"/>
      <c r="B121" s="54"/>
      <c r="C121" s="54"/>
      <c r="D121" s="54"/>
      <c r="E121" s="54"/>
      <c r="F121" s="91"/>
      <c r="G121" s="54"/>
      <c r="H121" s="69"/>
      <c r="I121" s="54"/>
      <c r="J121" s="54"/>
      <c r="K121" s="54"/>
      <c r="L121" s="54"/>
      <c r="M121" s="54"/>
      <c r="N121" s="54"/>
      <c r="O121" s="69"/>
      <c r="P121" s="54"/>
      <c r="Q121" s="54"/>
      <c r="R121" s="54"/>
    </row>
    <row r="122">
      <c r="A122" s="90"/>
      <c r="B122" s="54"/>
      <c r="C122" s="54"/>
      <c r="D122" s="54"/>
      <c r="E122" s="54"/>
      <c r="F122" s="91"/>
      <c r="G122" s="54"/>
      <c r="H122" s="69"/>
      <c r="I122" s="54"/>
      <c r="J122" s="54"/>
      <c r="K122" s="54"/>
      <c r="L122" s="54"/>
      <c r="M122" s="54"/>
      <c r="N122" s="54"/>
      <c r="O122" s="69"/>
      <c r="P122" s="54"/>
      <c r="Q122" s="54"/>
      <c r="R122" s="54"/>
    </row>
    <row r="123">
      <c r="A123" s="90"/>
      <c r="B123" s="54"/>
      <c r="C123" s="54"/>
      <c r="D123" s="54"/>
      <c r="E123" s="54"/>
      <c r="F123" s="91"/>
      <c r="G123" s="54"/>
      <c r="H123" s="69"/>
      <c r="I123" s="54"/>
      <c r="J123" s="54"/>
      <c r="K123" s="54"/>
      <c r="L123" s="54"/>
      <c r="M123" s="54"/>
      <c r="N123" s="54"/>
      <c r="O123" s="69"/>
      <c r="P123" s="54"/>
      <c r="Q123" s="54"/>
      <c r="R123" s="54"/>
    </row>
    <row r="124">
      <c r="A124" s="90"/>
      <c r="B124" s="54"/>
      <c r="C124" s="54"/>
      <c r="D124" s="54"/>
      <c r="E124" s="54"/>
      <c r="F124" s="91"/>
      <c r="G124" s="54"/>
      <c r="H124" s="69"/>
      <c r="I124" s="54"/>
      <c r="J124" s="54"/>
      <c r="K124" s="54"/>
      <c r="L124" s="54"/>
      <c r="M124" s="54"/>
      <c r="N124" s="54"/>
      <c r="O124" s="69"/>
      <c r="P124" s="54"/>
      <c r="Q124" s="54"/>
      <c r="R124" s="54"/>
    </row>
    <row r="125">
      <c r="A125" s="90"/>
      <c r="B125" s="54"/>
      <c r="C125" s="54"/>
      <c r="D125" s="54"/>
      <c r="E125" s="54"/>
      <c r="F125" s="91"/>
      <c r="G125" s="54"/>
      <c r="H125" s="69"/>
      <c r="I125" s="54"/>
      <c r="J125" s="54"/>
      <c r="K125" s="54"/>
      <c r="L125" s="54"/>
      <c r="M125" s="54"/>
      <c r="N125" s="54"/>
      <c r="O125" s="69"/>
      <c r="P125" s="54"/>
      <c r="Q125" s="54"/>
      <c r="R125" s="54"/>
    </row>
    <row r="126">
      <c r="A126" s="90"/>
      <c r="B126" s="54"/>
      <c r="C126" s="54"/>
      <c r="D126" s="54"/>
      <c r="E126" s="54"/>
      <c r="F126" s="91"/>
      <c r="G126" s="54"/>
      <c r="H126" s="69"/>
      <c r="I126" s="54"/>
      <c r="J126" s="54"/>
      <c r="K126" s="54"/>
      <c r="L126" s="54"/>
      <c r="M126" s="54"/>
      <c r="N126" s="54"/>
      <c r="O126" s="69"/>
      <c r="P126" s="54"/>
      <c r="Q126" s="54"/>
      <c r="R126" s="54"/>
    </row>
    <row r="127">
      <c r="A127" s="90"/>
      <c r="B127" s="54"/>
      <c r="C127" s="54"/>
      <c r="D127" s="54"/>
      <c r="E127" s="54"/>
      <c r="F127" s="91"/>
      <c r="G127" s="54"/>
      <c r="H127" s="69"/>
      <c r="I127" s="54"/>
      <c r="J127" s="54"/>
      <c r="K127" s="54"/>
      <c r="L127" s="54"/>
      <c r="M127" s="54"/>
      <c r="N127" s="54"/>
      <c r="O127" s="69"/>
      <c r="P127" s="54"/>
      <c r="Q127" s="54"/>
      <c r="R127" s="54"/>
    </row>
    <row r="128">
      <c r="A128" s="90"/>
      <c r="B128" s="54"/>
      <c r="C128" s="54"/>
      <c r="D128" s="54"/>
      <c r="E128" s="54"/>
      <c r="F128" s="91"/>
      <c r="G128" s="54"/>
      <c r="H128" s="69"/>
      <c r="I128" s="54"/>
      <c r="J128" s="54"/>
      <c r="K128" s="54"/>
      <c r="L128" s="54"/>
      <c r="M128" s="54"/>
      <c r="N128" s="54"/>
      <c r="O128" s="69"/>
      <c r="P128" s="54"/>
      <c r="Q128" s="54"/>
      <c r="R128" s="54"/>
    </row>
    <row r="129">
      <c r="A129" s="90"/>
      <c r="B129" s="54"/>
      <c r="C129" s="54"/>
      <c r="D129" s="54"/>
      <c r="E129" s="54"/>
      <c r="F129" s="91"/>
      <c r="G129" s="54"/>
      <c r="H129" s="69"/>
      <c r="I129" s="54"/>
      <c r="J129" s="54"/>
      <c r="K129" s="54"/>
      <c r="L129" s="54"/>
      <c r="M129" s="54"/>
      <c r="N129" s="54"/>
      <c r="O129" s="69"/>
      <c r="P129" s="54"/>
      <c r="Q129" s="54"/>
      <c r="R129" s="54"/>
    </row>
    <row r="130">
      <c r="A130" s="90"/>
      <c r="B130" s="54"/>
      <c r="C130" s="54"/>
      <c r="D130" s="54"/>
      <c r="E130" s="54"/>
      <c r="F130" s="91"/>
      <c r="G130" s="54"/>
      <c r="H130" s="69"/>
      <c r="I130" s="54"/>
      <c r="J130" s="54"/>
      <c r="K130" s="54"/>
      <c r="L130" s="54"/>
      <c r="M130" s="54"/>
      <c r="N130" s="54"/>
      <c r="O130" s="69"/>
      <c r="P130" s="54"/>
      <c r="Q130" s="54"/>
      <c r="R130" s="54"/>
    </row>
    <row r="131">
      <c r="A131" s="90"/>
      <c r="B131" s="54"/>
      <c r="C131" s="54"/>
      <c r="D131" s="54"/>
      <c r="E131" s="54"/>
      <c r="F131" s="91"/>
      <c r="G131" s="54"/>
      <c r="H131" s="69"/>
      <c r="I131" s="54"/>
      <c r="J131" s="54"/>
      <c r="K131" s="54"/>
      <c r="L131" s="54"/>
      <c r="M131" s="54"/>
      <c r="N131" s="54"/>
      <c r="O131" s="69"/>
      <c r="P131" s="54"/>
      <c r="Q131" s="54"/>
      <c r="R131" s="54"/>
    </row>
    <row r="132">
      <c r="A132" s="90"/>
      <c r="B132" s="54"/>
      <c r="C132" s="54"/>
      <c r="D132" s="54"/>
      <c r="E132" s="54"/>
      <c r="F132" s="91"/>
      <c r="G132" s="54"/>
      <c r="H132" s="69"/>
      <c r="I132" s="54"/>
      <c r="J132" s="54"/>
      <c r="K132" s="54"/>
      <c r="L132" s="54"/>
      <c r="M132" s="54"/>
      <c r="N132" s="54"/>
      <c r="O132" s="69"/>
      <c r="P132" s="54"/>
      <c r="Q132" s="54"/>
      <c r="R132" s="54"/>
    </row>
    <row r="133">
      <c r="A133" s="90"/>
      <c r="B133" s="54"/>
      <c r="C133" s="54"/>
      <c r="D133" s="54"/>
      <c r="E133" s="54"/>
      <c r="F133" s="91"/>
      <c r="G133" s="54"/>
      <c r="H133" s="69"/>
      <c r="I133" s="54"/>
      <c r="J133" s="54"/>
      <c r="K133" s="54"/>
      <c r="L133" s="54"/>
      <c r="M133" s="54"/>
      <c r="N133" s="54"/>
      <c r="O133" s="69"/>
      <c r="P133" s="54"/>
      <c r="Q133" s="54"/>
      <c r="R133" s="54"/>
    </row>
    <row r="134">
      <c r="A134" s="90"/>
      <c r="B134" s="54"/>
      <c r="C134" s="54"/>
      <c r="D134" s="54"/>
      <c r="E134" s="54"/>
      <c r="F134" s="91"/>
      <c r="G134" s="54"/>
      <c r="H134" s="69"/>
      <c r="I134" s="54"/>
      <c r="J134" s="54"/>
      <c r="K134" s="54"/>
      <c r="L134" s="54"/>
      <c r="M134" s="54"/>
      <c r="N134" s="54"/>
      <c r="O134" s="69"/>
      <c r="P134" s="54"/>
      <c r="Q134" s="54"/>
      <c r="R134" s="54"/>
    </row>
    <row r="135">
      <c r="A135" s="90"/>
      <c r="B135" s="54"/>
      <c r="C135" s="54"/>
      <c r="D135" s="54"/>
      <c r="E135" s="54"/>
      <c r="F135" s="91"/>
      <c r="G135" s="54"/>
      <c r="H135" s="69"/>
      <c r="I135" s="54"/>
      <c r="J135" s="54"/>
      <c r="K135" s="54"/>
      <c r="L135" s="54"/>
      <c r="M135" s="54"/>
      <c r="N135" s="54"/>
      <c r="O135" s="69"/>
      <c r="P135" s="54"/>
      <c r="Q135" s="54"/>
      <c r="R135" s="54"/>
    </row>
    <row r="136">
      <c r="A136" s="90"/>
      <c r="B136" s="54"/>
      <c r="C136" s="54"/>
      <c r="D136" s="54"/>
      <c r="E136" s="54"/>
      <c r="F136" s="91"/>
      <c r="G136" s="54"/>
      <c r="H136" s="69"/>
      <c r="I136" s="54"/>
      <c r="J136" s="54"/>
      <c r="K136" s="54"/>
      <c r="L136" s="54"/>
      <c r="M136" s="54"/>
      <c r="N136" s="54"/>
      <c r="O136" s="69"/>
      <c r="P136" s="54"/>
      <c r="Q136" s="54"/>
      <c r="R136" s="54"/>
    </row>
    <row r="137">
      <c r="A137" s="90"/>
      <c r="B137" s="54"/>
      <c r="C137" s="54"/>
      <c r="D137" s="54"/>
      <c r="E137" s="54"/>
      <c r="F137" s="91"/>
      <c r="G137" s="54"/>
      <c r="H137" s="69"/>
      <c r="I137" s="54"/>
      <c r="J137" s="54"/>
      <c r="K137" s="54"/>
      <c r="L137" s="54"/>
      <c r="M137" s="54"/>
      <c r="N137" s="54"/>
      <c r="O137" s="69"/>
      <c r="P137" s="54"/>
      <c r="Q137" s="54"/>
      <c r="R137" s="54"/>
    </row>
    <row r="138">
      <c r="A138" s="90"/>
      <c r="B138" s="54"/>
      <c r="C138" s="54"/>
      <c r="D138" s="54"/>
      <c r="E138" s="54"/>
      <c r="F138" s="91"/>
      <c r="G138" s="54"/>
      <c r="H138" s="69"/>
      <c r="I138" s="54"/>
      <c r="J138" s="54"/>
      <c r="K138" s="54"/>
      <c r="L138" s="54"/>
      <c r="M138" s="54"/>
      <c r="N138" s="54"/>
      <c r="O138" s="69"/>
      <c r="P138" s="54"/>
      <c r="Q138" s="54"/>
      <c r="R138" s="54"/>
    </row>
    <row r="139">
      <c r="A139" s="90"/>
      <c r="B139" s="54"/>
      <c r="C139" s="54"/>
      <c r="D139" s="54"/>
      <c r="E139" s="54"/>
      <c r="F139" s="91"/>
      <c r="G139" s="54"/>
      <c r="H139" s="69"/>
      <c r="I139" s="54"/>
      <c r="J139" s="54"/>
      <c r="K139" s="54"/>
      <c r="L139" s="54"/>
      <c r="M139" s="54"/>
      <c r="N139" s="54"/>
      <c r="O139" s="69"/>
      <c r="P139" s="54"/>
      <c r="Q139" s="54"/>
      <c r="R139" s="54"/>
    </row>
    <row r="140">
      <c r="A140" s="90"/>
      <c r="B140" s="54"/>
      <c r="C140" s="54"/>
      <c r="D140" s="54"/>
      <c r="E140" s="54"/>
      <c r="F140" s="91"/>
      <c r="G140" s="54"/>
      <c r="H140" s="69"/>
      <c r="I140" s="54"/>
      <c r="J140" s="54"/>
      <c r="K140" s="54"/>
      <c r="L140" s="54"/>
      <c r="M140" s="54"/>
      <c r="N140" s="54"/>
      <c r="O140" s="69"/>
      <c r="P140" s="54"/>
      <c r="Q140" s="54"/>
      <c r="R140" s="54"/>
    </row>
    <row r="141">
      <c r="A141" s="90"/>
      <c r="B141" s="54"/>
      <c r="C141" s="54"/>
      <c r="D141" s="54"/>
      <c r="E141" s="54"/>
      <c r="F141" s="91"/>
      <c r="G141" s="54"/>
      <c r="H141" s="69"/>
      <c r="I141" s="54"/>
      <c r="J141" s="54"/>
      <c r="K141" s="54"/>
      <c r="L141" s="54"/>
      <c r="M141" s="54"/>
      <c r="N141" s="54"/>
      <c r="O141" s="69"/>
      <c r="P141" s="54"/>
      <c r="Q141" s="54"/>
      <c r="R141" s="54"/>
    </row>
    <row r="142">
      <c r="A142" s="90"/>
      <c r="B142" s="54"/>
      <c r="C142" s="54"/>
      <c r="D142" s="54"/>
      <c r="E142" s="54"/>
      <c r="F142" s="91"/>
      <c r="G142" s="54"/>
      <c r="H142" s="69"/>
      <c r="I142" s="54"/>
      <c r="J142" s="54"/>
      <c r="K142" s="54"/>
      <c r="L142" s="54"/>
      <c r="M142" s="54"/>
      <c r="N142" s="54"/>
      <c r="O142" s="69"/>
      <c r="P142" s="54"/>
      <c r="Q142" s="54"/>
      <c r="R142" s="54"/>
    </row>
    <row r="143">
      <c r="A143" s="90"/>
      <c r="B143" s="54"/>
      <c r="C143" s="54"/>
      <c r="D143" s="54"/>
      <c r="E143" s="54"/>
      <c r="F143" s="91"/>
      <c r="G143" s="54"/>
      <c r="H143" s="69"/>
      <c r="I143" s="54"/>
      <c r="J143" s="54"/>
      <c r="K143" s="54"/>
      <c r="L143" s="54"/>
      <c r="M143" s="54"/>
      <c r="N143" s="54"/>
      <c r="O143" s="69"/>
      <c r="P143" s="54"/>
      <c r="Q143" s="54"/>
      <c r="R143" s="54"/>
    </row>
    <row r="144">
      <c r="A144" s="90"/>
      <c r="B144" s="54"/>
      <c r="C144" s="54"/>
      <c r="D144" s="54"/>
      <c r="E144" s="54"/>
      <c r="F144" s="91"/>
      <c r="G144" s="54"/>
      <c r="H144" s="69"/>
      <c r="I144" s="54"/>
      <c r="J144" s="54"/>
      <c r="K144" s="54"/>
      <c r="L144" s="54"/>
      <c r="M144" s="54"/>
      <c r="N144" s="54"/>
      <c r="O144" s="69"/>
      <c r="P144" s="54"/>
      <c r="Q144" s="54"/>
      <c r="R144" s="54"/>
    </row>
    <row r="145">
      <c r="A145" s="90"/>
      <c r="B145" s="54"/>
      <c r="C145" s="54"/>
      <c r="D145" s="54"/>
      <c r="E145" s="54"/>
      <c r="F145" s="91"/>
      <c r="G145" s="54"/>
      <c r="H145" s="69"/>
      <c r="I145" s="54"/>
      <c r="J145" s="54"/>
      <c r="K145" s="54"/>
      <c r="L145" s="54"/>
      <c r="M145" s="54"/>
      <c r="N145" s="54"/>
      <c r="O145" s="69"/>
      <c r="P145" s="54"/>
      <c r="Q145" s="54"/>
      <c r="R145" s="54"/>
    </row>
    <row r="146">
      <c r="A146" s="90"/>
      <c r="B146" s="54"/>
      <c r="C146" s="54"/>
      <c r="D146" s="54"/>
      <c r="E146" s="54"/>
      <c r="F146" s="91"/>
      <c r="G146" s="54"/>
      <c r="H146" s="69"/>
      <c r="I146" s="54"/>
      <c r="J146" s="54"/>
      <c r="K146" s="54"/>
      <c r="L146" s="54"/>
      <c r="M146" s="54"/>
      <c r="N146" s="54"/>
      <c r="O146" s="69"/>
      <c r="P146" s="54"/>
      <c r="Q146" s="54"/>
      <c r="R146" s="54"/>
    </row>
    <row r="147">
      <c r="A147" s="90"/>
      <c r="B147" s="54"/>
      <c r="C147" s="54"/>
      <c r="D147" s="54"/>
      <c r="E147" s="54"/>
      <c r="F147" s="91"/>
      <c r="G147" s="54"/>
      <c r="H147" s="69"/>
      <c r="I147" s="54"/>
      <c r="J147" s="54"/>
      <c r="K147" s="54"/>
      <c r="L147" s="54"/>
      <c r="M147" s="54"/>
      <c r="N147" s="54"/>
      <c r="O147" s="69"/>
      <c r="P147" s="54"/>
      <c r="Q147" s="54"/>
      <c r="R147" s="54"/>
    </row>
    <row r="148">
      <c r="A148" s="90"/>
      <c r="B148" s="54"/>
      <c r="C148" s="54"/>
      <c r="D148" s="54"/>
      <c r="E148" s="54"/>
      <c r="F148" s="91"/>
      <c r="G148" s="54"/>
      <c r="H148" s="69"/>
      <c r="I148" s="54"/>
      <c r="J148" s="54"/>
      <c r="K148" s="54"/>
      <c r="L148" s="54"/>
      <c r="M148" s="54"/>
      <c r="N148" s="54"/>
      <c r="O148" s="69"/>
      <c r="P148" s="54"/>
      <c r="Q148" s="54"/>
      <c r="R148" s="54"/>
    </row>
    <row r="149">
      <c r="A149" s="90"/>
      <c r="B149" s="54"/>
      <c r="C149" s="54"/>
      <c r="D149" s="54"/>
      <c r="E149" s="54"/>
      <c r="F149" s="91"/>
      <c r="G149" s="54"/>
      <c r="H149" s="69"/>
      <c r="I149" s="54"/>
      <c r="J149" s="54"/>
      <c r="K149" s="54"/>
      <c r="L149" s="54"/>
      <c r="M149" s="54"/>
      <c r="N149" s="54"/>
      <c r="O149" s="69"/>
      <c r="P149" s="54"/>
      <c r="Q149" s="54"/>
      <c r="R149" s="54"/>
    </row>
    <row r="150">
      <c r="A150" s="90"/>
      <c r="B150" s="54"/>
      <c r="C150" s="54"/>
      <c r="D150" s="54"/>
      <c r="E150" s="54"/>
      <c r="F150" s="91"/>
      <c r="G150" s="54"/>
      <c r="H150" s="69"/>
      <c r="I150" s="54"/>
      <c r="J150" s="54"/>
      <c r="K150" s="54"/>
      <c r="L150" s="54"/>
      <c r="M150" s="54"/>
      <c r="N150" s="54"/>
      <c r="O150" s="69"/>
      <c r="P150" s="54"/>
      <c r="Q150" s="54"/>
      <c r="R150" s="54"/>
    </row>
    <row r="151">
      <c r="A151" s="90"/>
      <c r="B151" s="54"/>
      <c r="C151" s="54"/>
      <c r="D151" s="54"/>
      <c r="E151" s="54"/>
      <c r="F151" s="91"/>
      <c r="G151" s="54"/>
      <c r="H151" s="69"/>
      <c r="I151" s="54"/>
      <c r="J151" s="54"/>
      <c r="K151" s="54"/>
      <c r="L151" s="54"/>
      <c r="M151" s="54"/>
      <c r="N151" s="54"/>
      <c r="O151" s="69"/>
      <c r="P151" s="54"/>
      <c r="Q151" s="54"/>
      <c r="R151" s="54"/>
    </row>
    <row r="152">
      <c r="A152" s="90"/>
      <c r="B152" s="54"/>
      <c r="C152" s="54"/>
      <c r="D152" s="54"/>
      <c r="E152" s="54"/>
      <c r="F152" s="91"/>
      <c r="G152" s="54"/>
      <c r="H152" s="69"/>
      <c r="I152" s="54"/>
      <c r="J152" s="54"/>
      <c r="K152" s="54"/>
      <c r="L152" s="54"/>
      <c r="M152" s="54"/>
      <c r="N152" s="54"/>
      <c r="O152" s="69"/>
      <c r="P152" s="54"/>
      <c r="Q152" s="54"/>
      <c r="R152" s="54"/>
    </row>
    <row r="153">
      <c r="A153" s="90"/>
      <c r="B153" s="54"/>
      <c r="C153" s="54"/>
      <c r="D153" s="54"/>
      <c r="E153" s="54"/>
      <c r="F153" s="91"/>
      <c r="G153" s="54"/>
      <c r="H153" s="69"/>
      <c r="I153" s="54"/>
      <c r="J153" s="54"/>
      <c r="K153" s="54"/>
      <c r="L153" s="54"/>
      <c r="M153" s="54"/>
      <c r="N153" s="54"/>
      <c r="O153" s="69"/>
      <c r="P153" s="54"/>
      <c r="Q153" s="54"/>
      <c r="R153" s="54"/>
    </row>
    <row r="154">
      <c r="A154" s="90"/>
      <c r="B154" s="54"/>
      <c r="C154" s="54"/>
      <c r="D154" s="54"/>
      <c r="E154" s="54"/>
      <c r="F154" s="91"/>
      <c r="G154" s="54"/>
      <c r="H154" s="69"/>
      <c r="I154" s="54"/>
      <c r="J154" s="54"/>
      <c r="K154" s="54"/>
      <c r="L154" s="54"/>
      <c r="M154" s="54"/>
      <c r="N154" s="54"/>
      <c r="O154" s="69"/>
      <c r="P154" s="54"/>
      <c r="Q154" s="54"/>
      <c r="R154" s="54"/>
    </row>
    <row r="155">
      <c r="A155" s="90"/>
      <c r="B155" s="54"/>
      <c r="C155" s="54"/>
      <c r="D155" s="54"/>
      <c r="E155" s="54"/>
      <c r="F155" s="91"/>
      <c r="G155" s="54"/>
      <c r="H155" s="69"/>
      <c r="I155" s="54"/>
      <c r="J155" s="54"/>
      <c r="K155" s="54"/>
      <c r="L155" s="54"/>
      <c r="M155" s="54"/>
      <c r="N155" s="54"/>
      <c r="O155" s="69"/>
      <c r="P155" s="54"/>
      <c r="Q155" s="54"/>
      <c r="R155" s="54"/>
    </row>
    <row r="156">
      <c r="A156" s="90"/>
      <c r="B156" s="54"/>
      <c r="C156" s="54"/>
      <c r="D156" s="54"/>
      <c r="E156" s="54"/>
      <c r="F156" s="91"/>
      <c r="G156" s="54"/>
      <c r="H156" s="69"/>
      <c r="I156" s="54"/>
      <c r="J156" s="54"/>
      <c r="K156" s="54"/>
      <c r="L156" s="54"/>
      <c r="M156" s="54"/>
      <c r="N156" s="54"/>
      <c r="O156" s="69"/>
      <c r="P156" s="54"/>
      <c r="Q156" s="54"/>
      <c r="R156" s="54"/>
    </row>
    <row r="157">
      <c r="A157" s="90"/>
      <c r="B157" s="54"/>
      <c r="C157" s="54"/>
      <c r="D157" s="54"/>
      <c r="E157" s="54"/>
      <c r="F157" s="91"/>
      <c r="G157" s="54"/>
      <c r="H157" s="69"/>
      <c r="I157" s="54"/>
      <c r="J157" s="54"/>
      <c r="K157" s="54"/>
      <c r="L157" s="54"/>
      <c r="M157" s="54"/>
      <c r="N157" s="54"/>
      <c r="O157" s="69"/>
      <c r="P157" s="54"/>
      <c r="Q157" s="54"/>
      <c r="R157" s="54"/>
    </row>
    <row r="158">
      <c r="A158" s="90"/>
      <c r="B158" s="54"/>
      <c r="C158" s="54"/>
      <c r="D158" s="54"/>
      <c r="E158" s="54"/>
      <c r="F158" s="91"/>
      <c r="G158" s="54"/>
      <c r="H158" s="69"/>
      <c r="I158" s="54"/>
      <c r="J158" s="54"/>
      <c r="K158" s="54"/>
      <c r="L158" s="54"/>
      <c r="M158" s="54"/>
      <c r="N158" s="54"/>
      <c r="O158" s="69"/>
      <c r="P158" s="54"/>
      <c r="Q158" s="54"/>
      <c r="R158" s="54"/>
    </row>
    <row r="159">
      <c r="A159" s="90"/>
      <c r="B159" s="54"/>
      <c r="C159" s="54"/>
      <c r="D159" s="54"/>
      <c r="E159" s="54"/>
      <c r="F159" s="91"/>
      <c r="G159" s="54"/>
      <c r="H159" s="69"/>
      <c r="I159" s="54"/>
      <c r="J159" s="54"/>
      <c r="K159" s="54"/>
      <c r="L159" s="54"/>
      <c r="M159" s="54"/>
      <c r="N159" s="54"/>
      <c r="O159" s="69"/>
      <c r="P159" s="54"/>
      <c r="Q159" s="54"/>
      <c r="R159" s="54"/>
    </row>
    <row r="160">
      <c r="A160" s="90"/>
      <c r="B160" s="54"/>
      <c r="C160" s="54"/>
      <c r="D160" s="54"/>
      <c r="E160" s="54"/>
      <c r="F160" s="91"/>
      <c r="G160" s="54"/>
      <c r="H160" s="69"/>
      <c r="I160" s="54"/>
      <c r="J160" s="54"/>
      <c r="K160" s="54"/>
      <c r="L160" s="54"/>
      <c r="M160" s="54"/>
      <c r="N160" s="54"/>
      <c r="O160" s="69"/>
      <c r="P160" s="54"/>
      <c r="Q160" s="54"/>
      <c r="R160" s="54"/>
    </row>
    <row r="161">
      <c r="A161" s="90"/>
      <c r="B161" s="54"/>
      <c r="C161" s="54"/>
      <c r="D161" s="54"/>
      <c r="E161" s="54"/>
      <c r="F161" s="91"/>
      <c r="G161" s="54"/>
      <c r="H161" s="69"/>
      <c r="I161" s="54"/>
      <c r="J161" s="54"/>
      <c r="K161" s="54"/>
      <c r="L161" s="54"/>
      <c r="M161" s="54"/>
      <c r="N161" s="54"/>
      <c r="O161" s="69"/>
      <c r="P161" s="54"/>
      <c r="Q161" s="54"/>
      <c r="R161" s="54"/>
    </row>
    <row r="162">
      <c r="A162" s="90"/>
      <c r="B162" s="54"/>
      <c r="C162" s="54"/>
      <c r="D162" s="54"/>
      <c r="E162" s="54"/>
      <c r="F162" s="91"/>
      <c r="G162" s="54"/>
      <c r="H162" s="69"/>
      <c r="I162" s="54"/>
      <c r="J162" s="54"/>
      <c r="K162" s="54"/>
      <c r="L162" s="54"/>
      <c r="M162" s="54"/>
      <c r="N162" s="54"/>
      <c r="O162" s="69"/>
      <c r="P162" s="54"/>
      <c r="Q162" s="54"/>
      <c r="R162" s="54"/>
    </row>
    <row r="163">
      <c r="A163" s="93"/>
      <c r="F163" s="94"/>
      <c r="H163" s="95"/>
      <c r="O163" s="95"/>
    </row>
    <row r="164">
      <c r="A164" s="93"/>
      <c r="F164" s="94"/>
      <c r="H164" s="95"/>
      <c r="O164" s="95"/>
    </row>
    <row r="165">
      <c r="A165" s="93"/>
      <c r="F165" s="94"/>
      <c r="H165" s="95"/>
      <c r="O165" s="95"/>
    </row>
    <row r="166">
      <c r="A166" s="93"/>
      <c r="F166" s="94"/>
      <c r="H166" s="95"/>
      <c r="O166" s="95"/>
    </row>
    <row r="167">
      <c r="A167" s="93"/>
      <c r="F167" s="94"/>
      <c r="H167" s="95"/>
      <c r="O167" s="95"/>
    </row>
    <row r="168">
      <c r="A168" s="93"/>
      <c r="F168" s="94"/>
      <c r="H168" s="95"/>
      <c r="O168" s="95"/>
    </row>
    <row r="169">
      <c r="A169" s="93"/>
      <c r="F169" s="94"/>
      <c r="H169" s="95"/>
      <c r="O169" s="95"/>
    </row>
    <row r="170">
      <c r="A170" s="93"/>
      <c r="F170" s="94"/>
      <c r="H170" s="95"/>
      <c r="O170" s="95"/>
    </row>
    <row r="171">
      <c r="A171" s="93"/>
      <c r="F171" s="94"/>
      <c r="H171" s="95"/>
      <c r="O171" s="95"/>
    </row>
    <row r="172">
      <c r="A172" s="93"/>
      <c r="F172" s="94"/>
      <c r="H172" s="95"/>
      <c r="O172" s="95"/>
    </row>
    <row r="173">
      <c r="A173" s="93"/>
      <c r="F173" s="94"/>
      <c r="H173" s="95"/>
      <c r="O173" s="95"/>
    </row>
    <row r="174">
      <c r="A174" s="93"/>
      <c r="F174" s="94"/>
      <c r="H174" s="95"/>
      <c r="O174" s="95"/>
    </row>
    <row r="175">
      <c r="A175" s="93"/>
      <c r="F175" s="94"/>
      <c r="H175" s="95"/>
      <c r="O175" s="95"/>
    </row>
    <row r="176">
      <c r="A176" s="93"/>
      <c r="F176" s="94"/>
      <c r="H176" s="95"/>
      <c r="O176" s="95"/>
    </row>
    <row r="177">
      <c r="A177" s="93"/>
      <c r="F177" s="94"/>
      <c r="H177" s="95"/>
      <c r="O177" s="95"/>
    </row>
    <row r="178">
      <c r="A178" s="93"/>
      <c r="F178" s="94"/>
      <c r="H178" s="95"/>
      <c r="O178" s="95"/>
    </row>
    <row r="179">
      <c r="A179" s="93"/>
      <c r="F179" s="94"/>
      <c r="H179" s="95"/>
      <c r="O179" s="95"/>
    </row>
    <row r="180">
      <c r="A180" s="93"/>
      <c r="F180" s="94"/>
      <c r="H180" s="95"/>
      <c r="O180" s="95"/>
    </row>
    <row r="181">
      <c r="A181" s="93"/>
      <c r="F181" s="94"/>
      <c r="H181" s="95"/>
      <c r="O181" s="95"/>
    </row>
    <row r="182">
      <c r="A182" s="93"/>
      <c r="F182" s="94"/>
      <c r="H182" s="95"/>
      <c r="O182" s="95"/>
    </row>
    <row r="183">
      <c r="A183" s="93"/>
      <c r="F183" s="94"/>
      <c r="H183" s="95"/>
      <c r="O183" s="95"/>
    </row>
    <row r="184">
      <c r="A184" s="93"/>
      <c r="F184" s="94"/>
      <c r="H184" s="95"/>
      <c r="O184" s="95"/>
    </row>
    <row r="185">
      <c r="A185" s="93"/>
      <c r="F185" s="94"/>
      <c r="H185" s="95"/>
      <c r="O185" s="95"/>
    </row>
    <row r="186">
      <c r="A186" s="93"/>
      <c r="F186" s="94"/>
      <c r="H186" s="95"/>
      <c r="O186" s="95"/>
    </row>
    <row r="187">
      <c r="A187" s="93"/>
      <c r="F187" s="94"/>
      <c r="H187" s="95"/>
      <c r="O187" s="95"/>
    </row>
    <row r="188">
      <c r="A188" s="93"/>
      <c r="F188" s="94"/>
      <c r="H188" s="95"/>
      <c r="O188" s="95"/>
    </row>
    <row r="189">
      <c r="A189" s="93"/>
      <c r="F189" s="94"/>
      <c r="H189" s="95"/>
      <c r="O189" s="95"/>
    </row>
    <row r="190">
      <c r="A190" s="93"/>
      <c r="F190" s="94"/>
      <c r="H190" s="95"/>
      <c r="O190" s="95"/>
    </row>
    <row r="191">
      <c r="A191" s="93"/>
      <c r="F191" s="94"/>
      <c r="H191" s="95"/>
      <c r="O191" s="95"/>
    </row>
    <row r="192">
      <c r="A192" s="93"/>
      <c r="F192" s="94"/>
      <c r="H192" s="95"/>
      <c r="O192" s="95"/>
    </row>
    <row r="193">
      <c r="A193" s="93"/>
      <c r="F193" s="94"/>
      <c r="H193" s="95"/>
      <c r="O193" s="95"/>
    </row>
    <row r="194">
      <c r="A194" s="93"/>
      <c r="F194" s="94"/>
      <c r="H194" s="95"/>
      <c r="O194" s="95"/>
    </row>
    <row r="195">
      <c r="A195" s="93"/>
      <c r="F195" s="94"/>
      <c r="H195" s="95"/>
      <c r="O195" s="95"/>
    </row>
    <row r="196">
      <c r="A196" s="93"/>
      <c r="F196" s="94"/>
      <c r="H196" s="95"/>
      <c r="O196" s="95"/>
    </row>
    <row r="197">
      <c r="A197" s="93"/>
      <c r="F197" s="94"/>
      <c r="H197" s="95"/>
      <c r="O197" s="95"/>
    </row>
    <row r="198">
      <c r="A198" s="93"/>
      <c r="F198" s="94"/>
      <c r="H198" s="95"/>
      <c r="O198" s="95"/>
    </row>
    <row r="199">
      <c r="A199" s="93"/>
      <c r="F199" s="94"/>
      <c r="H199" s="95"/>
      <c r="O199" s="95"/>
    </row>
    <row r="200">
      <c r="A200" s="93"/>
      <c r="F200" s="94"/>
      <c r="H200" s="95"/>
      <c r="O200" s="95"/>
    </row>
    <row r="201">
      <c r="A201" s="93"/>
      <c r="F201" s="94"/>
      <c r="H201" s="95"/>
      <c r="O201" s="95"/>
    </row>
    <row r="202">
      <c r="A202" s="93"/>
      <c r="F202" s="94"/>
      <c r="H202" s="95"/>
      <c r="O202" s="95"/>
    </row>
    <row r="203">
      <c r="A203" s="93"/>
      <c r="F203" s="94"/>
      <c r="H203" s="95"/>
      <c r="O203" s="95"/>
    </row>
    <row r="204">
      <c r="A204" s="93"/>
      <c r="F204" s="94"/>
      <c r="H204" s="95"/>
      <c r="O204" s="95"/>
    </row>
    <row r="205">
      <c r="A205" s="93"/>
      <c r="F205" s="94"/>
      <c r="H205" s="95"/>
      <c r="O205" s="95"/>
    </row>
    <row r="206">
      <c r="A206" s="93"/>
      <c r="F206" s="94"/>
      <c r="H206" s="95"/>
      <c r="O206" s="95"/>
    </row>
    <row r="207">
      <c r="A207" s="93"/>
      <c r="F207" s="94"/>
      <c r="H207" s="95"/>
      <c r="O207" s="95"/>
    </row>
    <row r="208">
      <c r="A208" s="93"/>
      <c r="F208" s="94"/>
      <c r="H208" s="95"/>
      <c r="O208" s="95"/>
    </row>
    <row r="209">
      <c r="A209" s="93"/>
      <c r="F209" s="94"/>
      <c r="H209" s="95"/>
      <c r="O209" s="95"/>
    </row>
    <row r="210">
      <c r="A210" s="93"/>
      <c r="F210" s="94"/>
      <c r="H210" s="95"/>
      <c r="O210" s="95"/>
    </row>
    <row r="211">
      <c r="A211" s="93"/>
      <c r="F211" s="94"/>
      <c r="H211" s="95"/>
      <c r="O211" s="95"/>
    </row>
    <row r="212">
      <c r="A212" s="93"/>
      <c r="F212" s="94"/>
      <c r="H212" s="95"/>
      <c r="O212" s="95"/>
    </row>
    <row r="213">
      <c r="A213" s="93"/>
      <c r="F213" s="94"/>
      <c r="H213" s="95"/>
      <c r="O213" s="95"/>
    </row>
    <row r="214">
      <c r="A214" s="93"/>
      <c r="F214" s="94"/>
      <c r="H214" s="95"/>
      <c r="O214" s="95"/>
    </row>
    <row r="215">
      <c r="A215" s="93"/>
      <c r="F215" s="94"/>
      <c r="H215" s="95"/>
      <c r="O215" s="95"/>
    </row>
    <row r="216">
      <c r="A216" s="93"/>
      <c r="F216" s="94"/>
      <c r="H216" s="95"/>
      <c r="O216" s="95"/>
    </row>
    <row r="217">
      <c r="A217" s="93"/>
      <c r="F217" s="94"/>
      <c r="H217" s="95"/>
      <c r="O217" s="95"/>
    </row>
    <row r="218">
      <c r="A218" s="93"/>
      <c r="F218" s="94"/>
      <c r="H218" s="95"/>
      <c r="O218" s="95"/>
    </row>
    <row r="219">
      <c r="A219" s="93"/>
      <c r="F219" s="94"/>
      <c r="H219" s="95"/>
      <c r="O219" s="95"/>
    </row>
    <row r="220">
      <c r="A220" s="93"/>
      <c r="F220" s="94"/>
      <c r="H220" s="95"/>
      <c r="O220" s="95"/>
    </row>
    <row r="221">
      <c r="A221" s="93"/>
      <c r="F221" s="94"/>
      <c r="H221" s="95"/>
      <c r="O221" s="95"/>
    </row>
    <row r="222">
      <c r="A222" s="93"/>
      <c r="F222" s="94"/>
      <c r="H222" s="95"/>
      <c r="O222" s="95"/>
    </row>
    <row r="223">
      <c r="A223" s="93"/>
      <c r="F223" s="94"/>
      <c r="H223" s="95"/>
      <c r="O223" s="95"/>
    </row>
    <row r="224">
      <c r="A224" s="93"/>
      <c r="F224" s="94"/>
      <c r="H224" s="95"/>
      <c r="O224" s="95"/>
    </row>
    <row r="225">
      <c r="A225" s="93"/>
      <c r="F225" s="94"/>
      <c r="H225" s="95"/>
      <c r="O225" s="95"/>
    </row>
    <row r="226">
      <c r="A226" s="93"/>
      <c r="F226" s="94"/>
      <c r="H226" s="95"/>
      <c r="O226" s="95"/>
    </row>
    <row r="227">
      <c r="A227" s="93"/>
      <c r="F227" s="94"/>
      <c r="H227" s="95"/>
      <c r="O227" s="95"/>
    </row>
    <row r="228">
      <c r="A228" s="93"/>
      <c r="F228" s="94"/>
      <c r="H228" s="95"/>
      <c r="O228" s="95"/>
    </row>
    <row r="229">
      <c r="A229" s="93"/>
      <c r="F229" s="94"/>
      <c r="H229" s="95"/>
      <c r="O229" s="95"/>
    </row>
    <row r="230">
      <c r="A230" s="93"/>
      <c r="F230" s="94"/>
      <c r="H230" s="95"/>
      <c r="O230" s="95"/>
    </row>
    <row r="231">
      <c r="A231" s="93"/>
      <c r="F231" s="94"/>
      <c r="H231" s="95"/>
      <c r="O231" s="95"/>
    </row>
    <row r="232">
      <c r="A232" s="93"/>
      <c r="F232" s="94"/>
      <c r="H232" s="95"/>
      <c r="O232" s="95"/>
    </row>
    <row r="233">
      <c r="A233" s="93"/>
      <c r="F233" s="94"/>
      <c r="H233" s="95"/>
      <c r="O233" s="95"/>
    </row>
    <row r="234">
      <c r="A234" s="93"/>
      <c r="F234" s="94"/>
      <c r="H234" s="95"/>
      <c r="O234" s="95"/>
    </row>
    <row r="235">
      <c r="A235" s="93"/>
      <c r="F235" s="94"/>
      <c r="H235" s="95"/>
      <c r="O235" s="95"/>
    </row>
    <row r="236">
      <c r="A236" s="93"/>
      <c r="F236" s="94"/>
      <c r="H236" s="95"/>
      <c r="O236" s="95"/>
    </row>
    <row r="237">
      <c r="A237" s="93"/>
      <c r="F237" s="94"/>
      <c r="H237" s="95"/>
      <c r="O237" s="95"/>
    </row>
    <row r="238">
      <c r="A238" s="93"/>
      <c r="F238" s="94"/>
      <c r="H238" s="95"/>
      <c r="O238" s="95"/>
    </row>
    <row r="239">
      <c r="A239" s="93"/>
      <c r="F239" s="94"/>
      <c r="H239" s="95"/>
      <c r="O239" s="95"/>
    </row>
    <row r="240">
      <c r="A240" s="93"/>
      <c r="F240" s="94"/>
      <c r="H240" s="95"/>
      <c r="O240" s="95"/>
    </row>
    <row r="241">
      <c r="A241" s="93"/>
      <c r="F241" s="94"/>
      <c r="H241" s="95"/>
      <c r="O241" s="95"/>
    </row>
    <row r="242">
      <c r="A242" s="93"/>
      <c r="F242" s="94"/>
      <c r="H242" s="95"/>
      <c r="O242" s="95"/>
    </row>
    <row r="243">
      <c r="A243" s="93"/>
      <c r="F243" s="94"/>
      <c r="H243" s="95"/>
      <c r="O243" s="95"/>
    </row>
    <row r="244">
      <c r="A244" s="93"/>
      <c r="F244" s="94"/>
      <c r="H244" s="95"/>
      <c r="O244" s="95"/>
    </row>
    <row r="245">
      <c r="A245" s="93"/>
      <c r="F245" s="94"/>
      <c r="H245" s="95"/>
      <c r="O245" s="95"/>
    </row>
    <row r="246">
      <c r="A246" s="93"/>
      <c r="F246" s="94"/>
      <c r="H246" s="95"/>
      <c r="O246" s="95"/>
    </row>
    <row r="247">
      <c r="A247" s="93"/>
      <c r="F247" s="94"/>
      <c r="H247" s="95"/>
      <c r="O247" s="95"/>
    </row>
    <row r="248">
      <c r="A248" s="93"/>
      <c r="F248" s="94"/>
      <c r="H248" s="95"/>
      <c r="O248" s="95"/>
    </row>
    <row r="249">
      <c r="A249" s="93"/>
      <c r="F249" s="94"/>
      <c r="H249" s="95"/>
      <c r="O249" s="95"/>
    </row>
    <row r="250">
      <c r="A250" s="93"/>
      <c r="F250" s="94"/>
      <c r="H250" s="95"/>
      <c r="O250" s="95"/>
    </row>
    <row r="251">
      <c r="A251" s="93"/>
      <c r="F251" s="94"/>
      <c r="H251" s="95"/>
      <c r="O251" s="95"/>
    </row>
    <row r="252">
      <c r="A252" s="93"/>
      <c r="F252" s="94"/>
      <c r="H252" s="95"/>
      <c r="O252" s="95"/>
    </row>
    <row r="253">
      <c r="A253" s="93"/>
      <c r="F253" s="94"/>
      <c r="H253" s="95"/>
      <c r="O253" s="95"/>
    </row>
    <row r="254">
      <c r="A254" s="93"/>
      <c r="F254" s="94"/>
      <c r="H254" s="95"/>
      <c r="O254" s="95"/>
    </row>
    <row r="255">
      <c r="A255" s="93"/>
      <c r="F255" s="94"/>
      <c r="H255" s="95"/>
      <c r="O255" s="95"/>
    </row>
    <row r="256">
      <c r="A256" s="93"/>
      <c r="F256" s="94"/>
      <c r="H256" s="95"/>
      <c r="O256" s="95"/>
    </row>
    <row r="257">
      <c r="A257" s="93"/>
      <c r="F257" s="94"/>
      <c r="H257" s="95"/>
      <c r="O257" s="95"/>
    </row>
    <row r="258">
      <c r="A258" s="93"/>
      <c r="F258" s="94"/>
      <c r="H258" s="95"/>
      <c r="O258" s="95"/>
    </row>
    <row r="259">
      <c r="A259" s="93"/>
      <c r="F259" s="94"/>
      <c r="H259" s="95"/>
      <c r="O259" s="95"/>
    </row>
    <row r="260">
      <c r="A260" s="93"/>
      <c r="F260" s="94"/>
      <c r="H260" s="95"/>
      <c r="O260" s="95"/>
    </row>
    <row r="261">
      <c r="A261" s="93"/>
      <c r="F261" s="94"/>
      <c r="H261" s="95"/>
      <c r="O261" s="95"/>
    </row>
    <row r="262">
      <c r="A262" s="93"/>
      <c r="F262" s="94"/>
      <c r="H262" s="95"/>
      <c r="O262" s="95"/>
    </row>
    <row r="263">
      <c r="A263" s="93"/>
      <c r="F263" s="94"/>
      <c r="H263" s="95"/>
      <c r="O263" s="95"/>
    </row>
    <row r="264">
      <c r="A264" s="93"/>
      <c r="F264" s="94"/>
      <c r="H264" s="95"/>
      <c r="O264" s="95"/>
    </row>
    <row r="265">
      <c r="A265" s="93"/>
      <c r="F265" s="94"/>
      <c r="H265" s="95"/>
      <c r="O265" s="95"/>
    </row>
    <row r="266">
      <c r="A266" s="93"/>
      <c r="F266" s="94"/>
      <c r="H266" s="95"/>
      <c r="O266" s="95"/>
    </row>
    <row r="267">
      <c r="A267" s="93"/>
      <c r="F267" s="94"/>
      <c r="H267" s="95"/>
      <c r="O267" s="95"/>
    </row>
    <row r="268">
      <c r="A268" s="93"/>
      <c r="F268" s="94"/>
      <c r="H268" s="95"/>
      <c r="O268" s="95"/>
    </row>
    <row r="269">
      <c r="A269" s="93"/>
      <c r="F269" s="94"/>
      <c r="H269" s="95"/>
      <c r="O269" s="95"/>
    </row>
    <row r="270">
      <c r="A270" s="93"/>
      <c r="F270" s="94"/>
      <c r="H270" s="95"/>
      <c r="O270" s="95"/>
    </row>
    <row r="271">
      <c r="A271" s="93"/>
      <c r="F271" s="94"/>
      <c r="H271" s="95"/>
      <c r="O271" s="95"/>
    </row>
    <row r="272">
      <c r="A272" s="93"/>
      <c r="F272" s="94"/>
      <c r="H272" s="95"/>
      <c r="O272" s="95"/>
    </row>
    <row r="273">
      <c r="A273" s="93"/>
      <c r="F273" s="94"/>
      <c r="H273" s="95"/>
      <c r="O273" s="95"/>
    </row>
    <row r="274">
      <c r="A274" s="93"/>
      <c r="F274" s="94"/>
      <c r="H274" s="95"/>
      <c r="O274" s="95"/>
    </row>
    <row r="275">
      <c r="A275" s="93"/>
      <c r="F275" s="94"/>
      <c r="H275" s="95"/>
      <c r="O275" s="95"/>
    </row>
    <row r="276">
      <c r="A276" s="93"/>
      <c r="F276" s="94"/>
      <c r="H276" s="95"/>
      <c r="O276" s="95"/>
    </row>
    <row r="277">
      <c r="A277" s="93"/>
      <c r="F277" s="94"/>
      <c r="H277" s="95"/>
      <c r="O277" s="95"/>
    </row>
    <row r="278">
      <c r="A278" s="93"/>
      <c r="F278" s="94"/>
      <c r="H278" s="95"/>
      <c r="O278" s="95"/>
    </row>
    <row r="279">
      <c r="A279" s="93"/>
      <c r="F279" s="94"/>
      <c r="H279" s="95"/>
      <c r="O279" s="95"/>
    </row>
    <row r="280">
      <c r="A280" s="93"/>
      <c r="F280" s="94"/>
      <c r="H280" s="95"/>
      <c r="O280" s="95"/>
    </row>
    <row r="281">
      <c r="A281" s="93"/>
      <c r="F281" s="94"/>
      <c r="H281" s="95"/>
      <c r="O281" s="95"/>
    </row>
    <row r="282">
      <c r="A282" s="93"/>
      <c r="F282" s="94"/>
      <c r="H282" s="95"/>
      <c r="O282" s="95"/>
    </row>
    <row r="283">
      <c r="A283" s="93"/>
      <c r="F283" s="94"/>
      <c r="H283" s="95"/>
      <c r="O283" s="95"/>
    </row>
    <row r="284">
      <c r="A284" s="93"/>
      <c r="F284" s="94"/>
      <c r="H284" s="95"/>
      <c r="O284" s="95"/>
    </row>
    <row r="285">
      <c r="A285" s="93"/>
      <c r="F285" s="94"/>
      <c r="H285" s="95"/>
      <c r="O285" s="95"/>
    </row>
    <row r="286">
      <c r="A286" s="93"/>
      <c r="F286" s="94"/>
      <c r="H286" s="95"/>
      <c r="O286" s="95"/>
    </row>
    <row r="287">
      <c r="A287" s="93"/>
      <c r="F287" s="94"/>
      <c r="H287" s="95"/>
      <c r="O287" s="95"/>
    </row>
    <row r="288">
      <c r="A288" s="93"/>
      <c r="F288" s="94"/>
      <c r="H288" s="95"/>
      <c r="O288" s="95"/>
    </row>
    <row r="289">
      <c r="A289" s="93"/>
      <c r="F289" s="94"/>
      <c r="H289" s="95"/>
      <c r="O289" s="95"/>
    </row>
    <row r="290">
      <c r="A290" s="93"/>
      <c r="F290" s="94"/>
      <c r="H290" s="95"/>
      <c r="O290" s="95"/>
    </row>
    <row r="291">
      <c r="A291" s="93"/>
      <c r="F291" s="94"/>
      <c r="H291" s="95"/>
      <c r="O291" s="95"/>
    </row>
    <row r="292">
      <c r="A292" s="93"/>
      <c r="F292" s="94"/>
      <c r="H292" s="95"/>
      <c r="O292" s="95"/>
    </row>
    <row r="293">
      <c r="A293" s="93"/>
      <c r="F293" s="94"/>
      <c r="H293" s="95"/>
      <c r="O293" s="95"/>
    </row>
    <row r="294">
      <c r="A294" s="93"/>
      <c r="F294" s="94"/>
      <c r="H294" s="95"/>
      <c r="O294" s="95"/>
    </row>
    <row r="295">
      <c r="A295" s="93"/>
      <c r="F295" s="94"/>
      <c r="H295" s="95"/>
      <c r="O295" s="95"/>
    </row>
    <row r="296">
      <c r="A296" s="93"/>
      <c r="F296" s="94"/>
      <c r="H296" s="95"/>
      <c r="O296" s="95"/>
    </row>
    <row r="297">
      <c r="A297" s="93"/>
      <c r="F297" s="94"/>
      <c r="H297" s="95"/>
      <c r="O297" s="95"/>
    </row>
    <row r="298">
      <c r="A298" s="93"/>
      <c r="F298" s="94"/>
      <c r="H298" s="95"/>
      <c r="O298" s="95"/>
    </row>
    <row r="299">
      <c r="A299" s="93"/>
      <c r="F299" s="94"/>
      <c r="H299" s="95"/>
      <c r="O299" s="95"/>
    </row>
    <row r="300">
      <c r="A300" s="93"/>
      <c r="F300" s="94"/>
      <c r="H300" s="95"/>
      <c r="O300" s="95"/>
    </row>
    <row r="301">
      <c r="A301" s="93"/>
      <c r="F301" s="94"/>
      <c r="H301" s="95"/>
      <c r="O301" s="95"/>
    </row>
    <row r="302">
      <c r="A302" s="93"/>
      <c r="F302" s="94"/>
      <c r="H302" s="95"/>
      <c r="O302" s="95"/>
    </row>
    <row r="303">
      <c r="A303" s="93"/>
      <c r="F303" s="94"/>
      <c r="H303" s="95"/>
      <c r="O303" s="95"/>
    </row>
    <row r="304">
      <c r="A304" s="93"/>
      <c r="F304" s="94"/>
      <c r="H304" s="95"/>
      <c r="O304" s="95"/>
    </row>
    <row r="305">
      <c r="A305" s="93"/>
      <c r="F305" s="94"/>
      <c r="H305" s="95"/>
      <c r="O305" s="95"/>
    </row>
    <row r="306">
      <c r="A306" s="93"/>
      <c r="F306" s="94"/>
      <c r="H306" s="95"/>
      <c r="O306" s="95"/>
    </row>
    <row r="307">
      <c r="A307" s="93"/>
      <c r="F307" s="94"/>
      <c r="H307" s="95"/>
      <c r="O307" s="95"/>
    </row>
    <row r="308">
      <c r="A308" s="93"/>
      <c r="F308" s="94"/>
      <c r="H308" s="95"/>
      <c r="O308" s="95"/>
    </row>
    <row r="309">
      <c r="A309" s="93"/>
      <c r="F309" s="94"/>
      <c r="H309" s="95"/>
      <c r="O309" s="95"/>
    </row>
    <row r="310">
      <c r="A310" s="93"/>
      <c r="F310" s="94"/>
      <c r="H310" s="95"/>
      <c r="O310" s="95"/>
    </row>
    <row r="311">
      <c r="A311" s="93"/>
      <c r="F311" s="94"/>
      <c r="H311" s="95"/>
      <c r="O311" s="95"/>
    </row>
    <row r="312">
      <c r="A312" s="93"/>
      <c r="F312" s="94"/>
      <c r="H312" s="95"/>
      <c r="O312" s="95"/>
    </row>
    <row r="313">
      <c r="A313" s="93"/>
      <c r="F313" s="94"/>
      <c r="H313" s="95"/>
      <c r="O313" s="95"/>
    </row>
    <row r="314">
      <c r="A314" s="93"/>
      <c r="F314" s="94"/>
      <c r="H314" s="95"/>
      <c r="O314" s="95"/>
    </row>
    <row r="315">
      <c r="A315" s="93"/>
      <c r="F315" s="94"/>
      <c r="H315" s="95"/>
      <c r="O315" s="95"/>
    </row>
    <row r="316">
      <c r="A316" s="93"/>
      <c r="F316" s="94"/>
      <c r="H316" s="95"/>
      <c r="O316" s="95"/>
    </row>
    <row r="317">
      <c r="A317" s="93"/>
      <c r="F317" s="94"/>
      <c r="H317" s="95"/>
      <c r="O317" s="95"/>
    </row>
    <row r="318">
      <c r="A318" s="93"/>
      <c r="F318" s="94"/>
      <c r="H318" s="95"/>
      <c r="O318" s="95"/>
    </row>
    <row r="319">
      <c r="A319" s="93"/>
      <c r="F319" s="94"/>
      <c r="H319" s="95"/>
      <c r="O319" s="95"/>
    </row>
    <row r="320">
      <c r="A320" s="93"/>
      <c r="F320" s="94"/>
      <c r="H320" s="95"/>
      <c r="O320" s="95"/>
    </row>
    <row r="321">
      <c r="A321" s="93"/>
      <c r="F321" s="94"/>
      <c r="H321" s="95"/>
      <c r="O321" s="95"/>
    </row>
    <row r="322">
      <c r="A322" s="93"/>
      <c r="F322" s="94"/>
      <c r="H322" s="95"/>
      <c r="O322" s="95"/>
    </row>
    <row r="323">
      <c r="A323" s="93"/>
      <c r="F323" s="94"/>
      <c r="H323" s="95"/>
      <c r="O323" s="95"/>
    </row>
    <row r="324">
      <c r="A324" s="93"/>
      <c r="F324" s="94"/>
      <c r="H324" s="95"/>
      <c r="O324" s="95"/>
    </row>
    <row r="325">
      <c r="A325" s="93"/>
      <c r="F325" s="94"/>
      <c r="H325" s="95"/>
      <c r="O325" s="95"/>
    </row>
    <row r="326">
      <c r="A326" s="93"/>
      <c r="F326" s="94"/>
      <c r="H326" s="95"/>
      <c r="O326" s="95"/>
    </row>
    <row r="327">
      <c r="A327" s="93"/>
      <c r="F327" s="94"/>
      <c r="H327" s="95"/>
      <c r="O327" s="95"/>
    </row>
    <row r="328">
      <c r="A328" s="93"/>
      <c r="F328" s="94"/>
      <c r="H328" s="95"/>
      <c r="O328" s="95"/>
    </row>
    <row r="329">
      <c r="A329" s="93"/>
      <c r="F329" s="94"/>
      <c r="H329" s="95"/>
      <c r="O329" s="95"/>
    </row>
    <row r="330">
      <c r="A330" s="93"/>
      <c r="F330" s="94"/>
      <c r="H330" s="95"/>
      <c r="O330" s="95"/>
    </row>
    <row r="331">
      <c r="A331" s="93"/>
      <c r="F331" s="94"/>
      <c r="H331" s="95"/>
      <c r="O331" s="95"/>
    </row>
    <row r="332">
      <c r="A332" s="93"/>
      <c r="F332" s="94"/>
      <c r="H332" s="95"/>
      <c r="O332" s="95"/>
    </row>
    <row r="333">
      <c r="A333" s="93"/>
      <c r="F333" s="94"/>
      <c r="H333" s="95"/>
      <c r="O333" s="95"/>
    </row>
    <row r="334">
      <c r="A334" s="93"/>
      <c r="F334" s="94"/>
      <c r="H334" s="95"/>
      <c r="O334" s="95"/>
    </row>
    <row r="335">
      <c r="A335" s="93"/>
      <c r="F335" s="94"/>
      <c r="H335" s="95"/>
      <c r="O335" s="95"/>
    </row>
    <row r="336">
      <c r="A336" s="93"/>
      <c r="F336" s="94"/>
      <c r="H336" s="95"/>
      <c r="O336" s="95"/>
    </row>
    <row r="337">
      <c r="A337" s="93"/>
      <c r="F337" s="94"/>
      <c r="H337" s="95"/>
      <c r="O337" s="95"/>
    </row>
    <row r="338">
      <c r="A338" s="93"/>
      <c r="F338" s="94"/>
      <c r="H338" s="95"/>
      <c r="O338" s="95"/>
    </row>
    <row r="339">
      <c r="A339" s="93"/>
      <c r="F339" s="94"/>
      <c r="H339" s="95"/>
      <c r="O339" s="95"/>
    </row>
    <row r="340">
      <c r="A340" s="93"/>
      <c r="F340" s="94"/>
      <c r="H340" s="95"/>
      <c r="O340" s="95"/>
    </row>
    <row r="341">
      <c r="A341" s="93"/>
      <c r="F341" s="94"/>
      <c r="H341" s="95"/>
      <c r="O341" s="95"/>
    </row>
    <row r="342">
      <c r="A342" s="93"/>
      <c r="F342" s="94"/>
      <c r="H342" s="95"/>
      <c r="O342" s="95"/>
    </row>
    <row r="343">
      <c r="A343" s="93"/>
      <c r="F343" s="94"/>
      <c r="H343" s="95"/>
      <c r="O343" s="95"/>
    </row>
    <row r="344">
      <c r="A344" s="93"/>
      <c r="F344" s="94"/>
      <c r="H344" s="95"/>
      <c r="O344" s="95"/>
    </row>
    <row r="345">
      <c r="A345" s="93"/>
      <c r="F345" s="94"/>
      <c r="H345" s="95"/>
      <c r="O345" s="95"/>
    </row>
    <row r="346">
      <c r="A346" s="93"/>
      <c r="F346" s="94"/>
      <c r="H346" s="95"/>
      <c r="O346" s="95"/>
    </row>
    <row r="347">
      <c r="A347" s="93"/>
      <c r="F347" s="94"/>
      <c r="H347" s="95"/>
      <c r="O347" s="95"/>
    </row>
    <row r="348">
      <c r="A348" s="93"/>
      <c r="F348" s="94"/>
      <c r="H348" s="95"/>
      <c r="O348" s="95"/>
    </row>
    <row r="349">
      <c r="A349" s="93"/>
      <c r="F349" s="94"/>
      <c r="H349" s="95"/>
      <c r="O349" s="95"/>
    </row>
    <row r="350">
      <c r="A350" s="93"/>
      <c r="F350" s="94"/>
      <c r="H350" s="95"/>
      <c r="O350" s="95"/>
    </row>
    <row r="351">
      <c r="A351" s="93"/>
      <c r="F351" s="94"/>
      <c r="H351" s="95"/>
      <c r="O351" s="95"/>
    </row>
    <row r="352">
      <c r="A352" s="93"/>
      <c r="F352" s="94"/>
      <c r="H352" s="95"/>
      <c r="O352" s="95"/>
    </row>
    <row r="353">
      <c r="A353" s="93"/>
      <c r="F353" s="94"/>
      <c r="H353" s="95"/>
      <c r="O353" s="95"/>
    </row>
    <row r="354">
      <c r="A354" s="93"/>
      <c r="F354" s="94"/>
      <c r="H354" s="95"/>
      <c r="O354" s="95"/>
    </row>
    <row r="355">
      <c r="A355" s="93"/>
      <c r="F355" s="94"/>
      <c r="H355" s="95"/>
      <c r="O355" s="95"/>
    </row>
    <row r="356">
      <c r="A356" s="93"/>
      <c r="F356" s="94"/>
      <c r="H356" s="95"/>
      <c r="O356" s="95"/>
    </row>
    <row r="357">
      <c r="A357" s="93"/>
      <c r="F357" s="94"/>
      <c r="H357" s="95"/>
      <c r="O357" s="95"/>
    </row>
    <row r="358">
      <c r="A358" s="93"/>
      <c r="F358" s="94"/>
      <c r="H358" s="95"/>
      <c r="O358" s="95"/>
    </row>
    <row r="359">
      <c r="A359" s="93"/>
      <c r="F359" s="94"/>
      <c r="H359" s="95"/>
      <c r="O359" s="95"/>
    </row>
    <row r="360">
      <c r="A360" s="93"/>
      <c r="F360" s="94"/>
      <c r="H360" s="95"/>
      <c r="O360" s="95"/>
    </row>
    <row r="361">
      <c r="A361" s="93"/>
      <c r="F361" s="94"/>
      <c r="H361" s="95"/>
      <c r="O361" s="95"/>
    </row>
    <row r="362">
      <c r="A362" s="93"/>
      <c r="F362" s="94"/>
      <c r="H362" s="95"/>
      <c r="O362" s="95"/>
    </row>
    <row r="363">
      <c r="A363" s="93"/>
      <c r="F363" s="94"/>
      <c r="H363" s="95"/>
      <c r="O363" s="95"/>
    </row>
    <row r="364">
      <c r="A364" s="93"/>
      <c r="F364" s="94"/>
      <c r="H364" s="95"/>
      <c r="O364" s="95"/>
    </row>
    <row r="365">
      <c r="A365" s="93"/>
      <c r="F365" s="94"/>
      <c r="H365" s="95"/>
      <c r="O365" s="95"/>
    </row>
    <row r="366">
      <c r="A366" s="93"/>
      <c r="F366" s="94"/>
      <c r="H366" s="95"/>
      <c r="O366" s="95"/>
    </row>
    <row r="367">
      <c r="A367" s="93"/>
      <c r="F367" s="94"/>
      <c r="H367" s="95"/>
      <c r="O367" s="95"/>
    </row>
    <row r="368">
      <c r="A368" s="93"/>
      <c r="F368" s="94"/>
      <c r="H368" s="95"/>
      <c r="O368" s="95"/>
    </row>
    <row r="369">
      <c r="A369" s="93"/>
      <c r="F369" s="94"/>
      <c r="H369" s="95"/>
      <c r="O369" s="95"/>
    </row>
    <row r="370">
      <c r="A370" s="93"/>
      <c r="F370" s="94"/>
      <c r="H370" s="95"/>
      <c r="O370" s="95"/>
    </row>
    <row r="371">
      <c r="A371" s="93"/>
      <c r="F371" s="94"/>
      <c r="H371" s="95"/>
      <c r="O371" s="95"/>
    </row>
    <row r="372">
      <c r="A372" s="93"/>
      <c r="F372" s="94"/>
      <c r="H372" s="95"/>
      <c r="O372" s="95"/>
    </row>
    <row r="373">
      <c r="A373" s="93"/>
      <c r="F373" s="94"/>
      <c r="H373" s="95"/>
      <c r="O373" s="95"/>
    </row>
    <row r="374">
      <c r="A374" s="93"/>
      <c r="F374" s="94"/>
      <c r="H374" s="95"/>
      <c r="O374" s="95"/>
    </row>
    <row r="375">
      <c r="A375" s="93"/>
      <c r="F375" s="94"/>
      <c r="H375" s="95"/>
      <c r="O375" s="95"/>
    </row>
    <row r="376">
      <c r="A376" s="93"/>
      <c r="F376" s="94"/>
      <c r="H376" s="95"/>
      <c r="O376" s="95"/>
    </row>
    <row r="377">
      <c r="A377" s="93"/>
      <c r="F377" s="94"/>
      <c r="H377" s="95"/>
      <c r="O377" s="95"/>
    </row>
    <row r="378">
      <c r="A378" s="93"/>
      <c r="F378" s="94"/>
      <c r="H378" s="95"/>
      <c r="O378" s="95"/>
    </row>
    <row r="379">
      <c r="A379" s="93"/>
      <c r="F379" s="94"/>
      <c r="H379" s="95"/>
      <c r="O379" s="95"/>
    </row>
    <row r="380">
      <c r="A380" s="93"/>
      <c r="F380" s="94"/>
      <c r="H380" s="95"/>
      <c r="O380" s="95"/>
    </row>
    <row r="381">
      <c r="A381" s="93"/>
      <c r="F381" s="94"/>
      <c r="H381" s="95"/>
      <c r="O381" s="95"/>
    </row>
    <row r="382">
      <c r="A382" s="93"/>
      <c r="F382" s="94"/>
      <c r="H382" s="95"/>
      <c r="O382" s="95"/>
    </row>
    <row r="383">
      <c r="A383" s="93"/>
      <c r="F383" s="94"/>
      <c r="H383" s="95"/>
      <c r="O383" s="95"/>
    </row>
    <row r="384">
      <c r="A384" s="93"/>
      <c r="F384" s="94"/>
      <c r="H384" s="95"/>
      <c r="O384" s="95"/>
    </row>
    <row r="385">
      <c r="A385" s="93"/>
      <c r="F385" s="94"/>
      <c r="H385" s="95"/>
      <c r="O385" s="95"/>
    </row>
    <row r="386">
      <c r="A386" s="93"/>
      <c r="F386" s="94"/>
      <c r="H386" s="95"/>
      <c r="O386" s="95"/>
    </row>
    <row r="387">
      <c r="A387" s="93"/>
      <c r="F387" s="94"/>
      <c r="H387" s="95"/>
      <c r="O387" s="95"/>
    </row>
    <row r="388">
      <c r="A388" s="93"/>
      <c r="F388" s="94"/>
      <c r="H388" s="95"/>
      <c r="O388" s="95"/>
    </row>
    <row r="389">
      <c r="A389" s="93"/>
      <c r="F389" s="94"/>
      <c r="H389" s="95"/>
      <c r="O389" s="95"/>
    </row>
    <row r="390">
      <c r="A390" s="93"/>
      <c r="F390" s="94"/>
      <c r="H390" s="95"/>
      <c r="O390" s="95"/>
    </row>
    <row r="391">
      <c r="A391" s="93"/>
      <c r="F391" s="94"/>
      <c r="H391" s="95"/>
      <c r="O391" s="95"/>
    </row>
    <row r="392">
      <c r="A392" s="93"/>
      <c r="F392" s="94"/>
      <c r="H392" s="95"/>
      <c r="O392" s="95"/>
    </row>
    <row r="393">
      <c r="A393" s="93"/>
      <c r="F393" s="94"/>
      <c r="H393" s="95"/>
      <c r="O393" s="95"/>
    </row>
    <row r="394">
      <c r="A394" s="93"/>
      <c r="F394" s="94"/>
      <c r="H394" s="95"/>
      <c r="O394" s="95"/>
    </row>
    <row r="395">
      <c r="A395" s="93"/>
      <c r="F395" s="94"/>
      <c r="H395" s="95"/>
      <c r="O395" s="95"/>
    </row>
    <row r="396">
      <c r="A396" s="93"/>
      <c r="F396" s="94"/>
      <c r="H396" s="95"/>
      <c r="O396" s="95"/>
    </row>
    <row r="397">
      <c r="A397" s="93"/>
      <c r="F397" s="94"/>
      <c r="H397" s="95"/>
      <c r="O397" s="95"/>
    </row>
    <row r="398">
      <c r="A398" s="93"/>
      <c r="F398" s="94"/>
      <c r="H398" s="95"/>
      <c r="O398" s="95"/>
    </row>
    <row r="399">
      <c r="A399" s="93"/>
      <c r="F399" s="94"/>
      <c r="H399" s="95"/>
      <c r="O399" s="95"/>
    </row>
    <row r="400">
      <c r="A400" s="93"/>
      <c r="F400" s="94"/>
      <c r="H400" s="95"/>
      <c r="O400" s="95"/>
    </row>
    <row r="401">
      <c r="A401" s="93"/>
      <c r="F401" s="94"/>
      <c r="H401" s="95"/>
      <c r="O401" s="95"/>
    </row>
    <row r="402">
      <c r="A402" s="93"/>
      <c r="F402" s="94"/>
      <c r="H402" s="95"/>
      <c r="O402" s="95"/>
    </row>
    <row r="403">
      <c r="A403" s="93"/>
      <c r="F403" s="94"/>
      <c r="H403" s="95"/>
      <c r="O403" s="95"/>
    </row>
    <row r="404">
      <c r="A404" s="93"/>
      <c r="F404" s="94"/>
      <c r="H404" s="95"/>
      <c r="O404" s="95"/>
    </row>
    <row r="405">
      <c r="A405" s="93"/>
      <c r="F405" s="94"/>
      <c r="H405" s="95"/>
      <c r="O405" s="95"/>
    </row>
    <row r="406">
      <c r="A406" s="93"/>
      <c r="F406" s="94"/>
      <c r="H406" s="95"/>
      <c r="O406" s="95"/>
    </row>
    <row r="407">
      <c r="A407" s="93"/>
      <c r="F407" s="94"/>
      <c r="H407" s="95"/>
      <c r="O407" s="95"/>
    </row>
    <row r="408">
      <c r="A408" s="93"/>
      <c r="F408" s="94"/>
      <c r="H408" s="95"/>
      <c r="O408" s="95"/>
    </row>
    <row r="409">
      <c r="A409" s="93"/>
      <c r="F409" s="94"/>
      <c r="H409" s="95"/>
      <c r="O409" s="95"/>
    </row>
    <row r="410">
      <c r="A410" s="93"/>
      <c r="F410" s="94"/>
      <c r="H410" s="95"/>
      <c r="O410" s="95"/>
    </row>
    <row r="411">
      <c r="A411" s="93"/>
      <c r="F411" s="94"/>
      <c r="H411" s="95"/>
      <c r="O411" s="95"/>
    </row>
    <row r="412">
      <c r="A412" s="93"/>
      <c r="F412" s="94"/>
      <c r="H412" s="95"/>
      <c r="O412" s="95"/>
    </row>
    <row r="413">
      <c r="A413" s="93"/>
      <c r="F413" s="94"/>
      <c r="H413" s="95"/>
      <c r="O413" s="95"/>
    </row>
    <row r="414">
      <c r="A414" s="93"/>
      <c r="F414" s="94"/>
      <c r="H414" s="95"/>
      <c r="O414" s="95"/>
    </row>
    <row r="415">
      <c r="A415" s="93"/>
      <c r="F415" s="94"/>
      <c r="H415" s="95"/>
      <c r="O415" s="95"/>
    </row>
    <row r="416">
      <c r="A416" s="93"/>
      <c r="F416" s="94"/>
      <c r="H416" s="95"/>
      <c r="O416" s="95"/>
    </row>
    <row r="417">
      <c r="A417" s="93"/>
      <c r="F417" s="94"/>
      <c r="H417" s="95"/>
      <c r="O417" s="95"/>
    </row>
    <row r="418">
      <c r="A418" s="93"/>
      <c r="F418" s="94"/>
      <c r="H418" s="95"/>
      <c r="O418" s="95"/>
    </row>
    <row r="419">
      <c r="A419" s="93"/>
      <c r="F419" s="94"/>
      <c r="H419" s="95"/>
      <c r="O419" s="95"/>
    </row>
    <row r="420">
      <c r="A420" s="93"/>
      <c r="F420" s="94"/>
      <c r="H420" s="95"/>
      <c r="O420" s="95"/>
    </row>
    <row r="421">
      <c r="A421" s="93"/>
      <c r="F421" s="94"/>
      <c r="H421" s="95"/>
      <c r="O421" s="95"/>
    </row>
    <row r="422">
      <c r="A422" s="93"/>
      <c r="F422" s="94"/>
      <c r="H422" s="95"/>
      <c r="O422" s="95"/>
    </row>
    <row r="423">
      <c r="A423" s="93"/>
      <c r="F423" s="94"/>
      <c r="H423" s="95"/>
      <c r="O423" s="95"/>
    </row>
    <row r="424">
      <c r="A424" s="93"/>
      <c r="F424" s="94"/>
      <c r="H424" s="95"/>
      <c r="O424" s="95"/>
    </row>
    <row r="425">
      <c r="A425" s="93"/>
      <c r="F425" s="94"/>
      <c r="H425" s="95"/>
      <c r="O425" s="95"/>
    </row>
    <row r="426">
      <c r="A426" s="93"/>
      <c r="F426" s="94"/>
      <c r="H426" s="95"/>
      <c r="O426" s="95"/>
    </row>
    <row r="427">
      <c r="A427" s="93"/>
      <c r="F427" s="94"/>
      <c r="H427" s="95"/>
      <c r="O427" s="95"/>
    </row>
    <row r="428">
      <c r="A428" s="93"/>
      <c r="F428" s="94"/>
      <c r="H428" s="95"/>
      <c r="O428" s="95"/>
    </row>
    <row r="429">
      <c r="A429" s="93"/>
      <c r="F429" s="94"/>
      <c r="H429" s="95"/>
      <c r="O429" s="95"/>
    </row>
    <row r="430">
      <c r="A430" s="93"/>
      <c r="F430" s="94"/>
      <c r="H430" s="95"/>
      <c r="O430" s="95"/>
    </row>
    <row r="431">
      <c r="A431" s="93"/>
      <c r="F431" s="94"/>
      <c r="H431" s="95"/>
      <c r="O431" s="95"/>
    </row>
    <row r="432">
      <c r="A432" s="93"/>
      <c r="F432" s="94"/>
      <c r="H432" s="95"/>
      <c r="O432" s="95"/>
    </row>
    <row r="433">
      <c r="A433" s="93"/>
      <c r="F433" s="94"/>
      <c r="H433" s="95"/>
      <c r="O433" s="95"/>
    </row>
    <row r="434">
      <c r="A434" s="93"/>
      <c r="F434" s="94"/>
      <c r="H434" s="95"/>
      <c r="O434" s="95"/>
    </row>
    <row r="435">
      <c r="A435" s="93"/>
      <c r="F435" s="94"/>
      <c r="H435" s="95"/>
      <c r="O435" s="95"/>
    </row>
    <row r="436">
      <c r="A436" s="93"/>
      <c r="F436" s="94"/>
      <c r="H436" s="95"/>
      <c r="O436" s="95"/>
    </row>
    <row r="437">
      <c r="A437" s="93"/>
      <c r="F437" s="94"/>
      <c r="H437" s="95"/>
      <c r="O437" s="95"/>
    </row>
    <row r="438">
      <c r="A438" s="93"/>
      <c r="F438" s="94"/>
      <c r="H438" s="95"/>
      <c r="O438" s="95"/>
    </row>
    <row r="439">
      <c r="A439" s="93"/>
      <c r="F439" s="94"/>
      <c r="H439" s="95"/>
      <c r="O439" s="95"/>
    </row>
    <row r="440">
      <c r="A440" s="93"/>
      <c r="F440" s="94"/>
      <c r="H440" s="95"/>
      <c r="O440" s="95"/>
    </row>
    <row r="441">
      <c r="A441" s="93"/>
      <c r="F441" s="94"/>
      <c r="H441" s="95"/>
      <c r="O441" s="95"/>
    </row>
    <row r="442">
      <c r="A442" s="93"/>
      <c r="F442" s="94"/>
      <c r="H442" s="95"/>
      <c r="O442" s="95"/>
    </row>
    <row r="443">
      <c r="A443" s="93"/>
      <c r="F443" s="94"/>
      <c r="H443" s="95"/>
      <c r="O443" s="95"/>
    </row>
    <row r="444">
      <c r="A444" s="93"/>
      <c r="F444" s="94"/>
      <c r="H444" s="95"/>
      <c r="O444" s="95"/>
    </row>
    <row r="445">
      <c r="A445" s="93"/>
      <c r="F445" s="94"/>
      <c r="H445" s="95"/>
      <c r="O445" s="95"/>
    </row>
    <row r="446">
      <c r="A446" s="93"/>
      <c r="F446" s="94"/>
      <c r="H446" s="95"/>
      <c r="O446" s="95"/>
    </row>
    <row r="447">
      <c r="A447" s="93"/>
      <c r="F447" s="94"/>
      <c r="H447" s="95"/>
      <c r="O447" s="95"/>
    </row>
    <row r="448">
      <c r="A448" s="93"/>
      <c r="F448" s="94"/>
      <c r="H448" s="95"/>
      <c r="O448" s="95"/>
    </row>
    <row r="449">
      <c r="A449" s="93"/>
      <c r="F449" s="94"/>
      <c r="H449" s="95"/>
      <c r="O449" s="95"/>
    </row>
    <row r="450">
      <c r="A450" s="93"/>
      <c r="F450" s="94"/>
      <c r="H450" s="95"/>
      <c r="O450" s="95"/>
    </row>
    <row r="451">
      <c r="A451" s="93"/>
      <c r="F451" s="94"/>
      <c r="H451" s="95"/>
      <c r="O451" s="95"/>
    </row>
    <row r="452">
      <c r="A452" s="93"/>
      <c r="F452" s="94"/>
      <c r="H452" s="95"/>
      <c r="O452" s="95"/>
    </row>
    <row r="453">
      <c r="A453" s="93"/>
      <c r="F453" s="94"/>
      <c r="H453" s="95"/>
      <c r="O453" s="95"/>
    </row>
    <row r="454">
      <c r="A454" s="93"/>
      <c r="F454" s="94"/>
      <c r="H454" s="95"/>
      <c r="O454" s="95"/>
    </row>
    <row r="455">
      <c r="A455" s="93"/>
      <c r="F455" s="94"/>
      <c r="H455" s="95"/>
      <c r="O455" s="95"/>
    </row>
    <row r="456">
      <c r="A456" s="93"/>
      <c r="F456" s="94"/>
      <c r="H456" s="95"/>
      <c r="O456" s="95"/>
    </row>
    <row r="457">
      <c r="A457" s="93"/>
      <c r="F457" s="94"/>
      <c r="H457" s="95"/>
      <c r="O457" s="95"/>
    </row>
    <row r="458">
      <c r="A458" s="93"/>
      <c r="F458" s="94"/>
      <c r="H458" s="95"/>
      <c r="O458" s="95"/>
    </row>
    <row r="459">
      <c r="A459" s="93"/>
      <c r="F459" s="94"/>
      <c r="H459" s="95"/>
      <c r="O459" s="95"/>
    </row>
    <row r="460">
      <c r="A460" s="93"/>
      <c r="F460" s="94"/>
      <c r="H460" s="95"/>
      <c r="O460" s="95"/>
    </row>
    <row r="461">
      <c r="A461" s="93"/>
      <c r="F461" s="94"/>
      <c r="H461" s="95"/>
      <c r="O461" s="95"/>
    </row>
    <row r="462">
      <c r="A462" s="93"/>
      <c r="F462" s="94"/>
      <c r="H462" s="95"/>
      <c r="O462" s="95"/>
    </row>
    <row r="463">
      <c r="A463" s="93"/>
      <c r="F463" s="94"/>
      <c r="H463" s="95"/>
      <c r="O463" s="95"/>
    </row>
    <row r="464">
      <c r="A464" s="93"/>
      <c r="F464" s="94"/>
      <c r="H464" s="95"/>
      <c r="O464" s="95"/>
    </row>
    <row r="465">
      <c r="A465" s="93"/>
      <c r="F465" s="94"/>
      <c r="H465" s="95"/>
      <c r="O465" s="95"/>
    </row>
    <row r="466">
      <c r="A466" s="93"/>
      <c r="F466" s="94"/>
      <c r="H466" s="95"/>
      <c r="O466" s="95"/>
    </row>
    <row r="467">
      <c r="A467" s="93"/>
      <c r="F467" s="94"/>
      <c r="H467" s="95"/>
      <c r="O467" s="95"/>
    </row>
    <row r="468">
      <c r="A468" s="93"/>
      <c r="F468" s="94"/>
      <c r="H468" s="95"/>
      <c r="O468" s="95"/>
    </row>
    <row r="469">
      <c r="A469" s="93"/>
      <c r="F469" s="94"/>
      <c r="H469" s="95"/>
      <c r="O469" s="95"/>
    </row>
    <row r="470">
      <c r="A470" s="93"/>
      <c r="F470" s="94"/>
      <c r="H470" s="95"/>
      <c r="O470" s="95"/>
    </row>
    <row r="471">
      <c r="A471" s="93"/>
      <c r="F471" s="94"/>
      <c r="H471" s="95"/>
      <c r="O471" s="95"/>
    </row>
    <row r="472">
      <c r="A472" s="93"/>
      <c r="F472" s="94"/>
      <c r="H472" s="95"/>
      <c r="O472" s="95"/>
    </row>
    <row r="473">
      <c r="A473" s="93"/>
      <c r="F473" s="94"/>
      <c r="H473" s="95"/>
      <c r="O473" s="95"/>
    </row>
    <row r="474">
      <c r="A474" s="93"/>
      <c r="F474" s="94"/>
      <c r="H474" s="95"/>
      <c r="O474" s="95"/>
    </row>
    <row r="475">
      <c r="A475" s="93"/>
      <c r="F475" s="94"/>
      <c r="H475" s="95"/>
      <c r="O475" s="95"/>
    </row>
    <row r="476">
      <c r="A476" s="93"/>
      <c r="F476" s="94"/>
      <c r="H476" s="95"/>
      <c r="O476" s="95"/>
    </row>
    <row r="477">
      <c r="A477" s="93"/>
      <c r="F477" s="94"/>
      <c r="H477" s="95"/>
      <c r="O477" s="95"/>
    </row>
    <row r="478">
      <c r="A478" s="93"/>
      <c r="F478" s="94"/>
      <c r="H478" s="95"/>
      <c r="O478" s="95"/>
    </row>
    <row r="479">
      <c r="A479" s="93"/>
      <c r="F479" s="94"/>
      <c r="H479" s="95"/>
      <c r="O479" s="95"/>
    </row>
    <row r="480">
      <c r="A480" s="93"/>
      <c r="F480" s="94"/>
      <c r="H480" s="95"/>
      <c r="O480" s="95"/>
    </row>
    <row r="481">
      <c r="A481" s="93"/>
      <c r="F481" s="94"/>
      <c r="H481" s="95"/>
      <c r="O481" s="95"/>
    </row>
    <row r="482">
      <c r="A482" s="93"/>
      <c r="F482" s="94"/>
      <c r="H482" s="95"/>
      <c r="O482" s="95"/>
    </row>
    <row r="483">
      <c r="A483" s="93"/>
      <c r="F483" s="94"/>
      <c r="H483" s="95"/>
      <c r="O483" s="95"/>
    </row>
    <row r="484">
      <c r="A484" s="93"/>
      <c r="F484" s="94"/>
      <c r="H484" s="95"/>
      <c r="O484" s="95"/>
    </row>
    <row r="485">
      <c r="A485" s="93"/>
      <c r="F485" s="94"/>
      <c r="H485" s="95"/>
      <c r="O485" s="95"/>
    </row>
    <row r="486">
      <c r="A486" s="93"/>
      <c r="F486" s="94"/>
      <c r="H486" s="95"/>
      <c r="O486" s="95"/>
    </row>
    <row r="487">
      <c r="A487" s="93"/>
      <c r="F487" s="94"/>
      <c r="H487" s="95"/>
      <c r="O487" s="95"/>
    </row>
    <row r="488">
      <c r="A488" s="93"/>
      <c r="F488" s="94"/>
      <c r="H488" s="95"/>
      <c r="O488" s="95"/>
    </row>
    <row r="489">
      <c r="A489" s="93"/>
      <c r="F489" s="94"/>
      <c r="H489" s="95"/>
      <c r="O489" s="95"/>
    </row>
    <row r="490">
      <c r="A490" s="93"/>
      <c r="F490" s="94"/>
      <c r="H490" s="95"/>
      <c r="O490" s="95"/>
    </row>
    <row r="491">
      <c r="A491" s="93"/>
      <c r="F491" s="94"/>
      <c r="H491" s="95"/>
      <c r="O491" s="95"/>
    </row>
    <row r="492">
      <c r="A492" s="93"/>
      <c r="F492" s="94"/>
      <c r="H492" s="95"/>
      <c r="O492" s="95"/>
    </row>
    <row r="493">
      <c r="A493" s="93"/>
      <c r="F493" s="94"/>
      <c r="H493" s="95"/>
      <c r="O493" s="95"/>
    </row>
    <row r="494">
      <c r="A494" s="93"/>
      <c r="F494" s="94"/>
      <c r="H494" s="95"/>
      <c r="O494" s="95"/>
    </row>
    <row r="495">
      <c r="A495" s="93"/>
      <c r="F495" s="94"/>
      <c r="H495" s="95"/>
      <c r="O495" s="95"/>
    </row>
    <row r="496">
      <c r="A496" s="93"/>
      <c r="F496" s="94"/>
      <c r="H496" s="95"/>
      <c r="O496" s="95"/>
    </row>
    <row r="497">
      <c r="A497" s="93"/>
      <c r="F497" s="94"/>
      <c r="H497" s="95"/>
      <c r="O497" s="95"/>
    </row>
    <row r="498">
      <c r="A498" s="93"/>
      <c r="F498" s="94"/>
      <c r="H498" s="95"/>
      <c r="O498" s="95"/>
    </row>
    <row r="499">
      <c r="A499" s="93"/>
      <c r="F499" s="94"/>
      <c r="H499" s="95"/>
      <c r="O499" s="95"/>
    </row>
    <row r="500">
      <c r="A500" s="93"/>
      <c r="F500" s="94"/>
      <c r="H500" s="95"/>
      <c r="O500" s="95"/>
    </row>
    <row r="501">
      <c r="A501" s="93"/>
      <c r="F501" s="94"/>
      <c r="H501" s="95"/>
      <c r="O501" s="95"/>
    </row>
    <row r="502">
      <c r="A502" s="93"/>
      <c r="F502" s="94"/>
      <c r="H502" s="95"/>
      <c r="O502" s="95"/>
    </row>
    <row r="503">
      <c r="A503" s="93"/>
      <c r="F503" s="94"/>
      <c r="H503" s="95"/>
      <c r="O503" s="95"/>
    </row>
    <row r="504">
      <c r="A504" s="93"/>
      <c r="F504" s="94"/>
      <c r="H504" s="95"/>
      <c r="O504" s="95"/>
    </row>
    <row r="505">
      <c r="A505" s="93"/>
      <c r="F505" s="94"/>
      <c r="H505" s="95"/>
      <c r="O505" s="95"/>
    </row>
    <row r="506">
      <c r="A506" s="93"/>
      <c r="F506" s="94"/>
      <c r="H506" s="95"/>
      <c r="O506" s="95"/>
    </row>
    <row r="507">
      <c r="A507" s="93"/>
      <c r="F507" s="94"/>
      <c r="H507" s="95"/>
      <c r="O507" s="95"/>
    </row>
    <row r="508">
      <c r="A508" s="93"/>
      <c r="F508" s="94"/>
      <c r="H508" s="95"/>
      <c r="O508" s="95"/>
    </row>
    <row r="509">
      <c r="A509" s="93"/>
      <c r="F509" s="94"/>
      <c r="H509" s="95"/>
      <c r="O509" s="95"/>
    </row>
    <row r="510">
      <c r="A510" s="93"/>
      <c r="F510" s="94"/>
      <c r="H510" s="95"/>
      <c r="O510" s="95"/>
    </row>
    <row r="511">
      <c r="A511" s="93"/>
      <c r="F511" s="94"/>
      <c r="H511" s="95"/>
      <c r="O511" s="95"/>
    </row>
    <row r="512">
      <c r="A512" s="93"/>
      <c r="F512" s="94"/>
      <c r="H512" s="95"/>
      <c r="O512" s="95"/>
    </row>
    <row r="513">
      <c r="A513" s="93"/>
      <c r="F513" s="94"/>
      <c r="H513" s="95"/>
      <c r="O513" s="95"/>
    </row>
    <row r="514">
      <c r="A514" s="93"/>
      <c r="F514" s="94"/>
      <c r="H514" s="95"/>
      <c r="O514" s="95"/>
    </row>
    <row r="515">
      <c r="A515" s="93"/>
      <c r="F515" s="94"/>
      <c r="H515" s="95"/>
      <c r="O515" s="95"/>
    </row>
    <row r="516">
      <c r="A516" s="93"/>
      <c r="F516" s="94"/>
      <c r="H516" s="95"/>
      <c r="O516" s="95"/>
    </row>
    <row r="517">
      <c r="A517" s="93"/>
      <c r="F517" s="94"/>
      <c r="H517" s="95"/>
      <c r="O517" s="95"/>
    </row>
    <row r="518">
      <c r="A518" s="93"/>
      <c r="F518" s="94"/>
      <c r="H518" s="95"/>
      <c r="O518" s="95"/>
    </row>
    <row r="519">
      <c r="A519" s="93"/>
      <c r="F519" s="94"/>
      <c r="H519" s="95"/>
      <c r="O519" s="95"/>
    </row>
    <row r="520">
      <c r="A520" s="93"/>
      <c r="F520" s="94"/>
      <c r="H520" s="95"/>
      <c r="O520" s="95"/>
    </row>
    <row r="521">
      <c r="A521" s="93"/>
      <c r="F521" s="94"/>
      <c r="H521" s="95"/>
      <c r="O521" s="95"/>
    </row>
    <row r="522">
      <c r="A522" s="93"/>
      <c r="F522" s="94"/>
      <c r="H522" s="95"/>
      <c r="O522" s="95"/>
    </row>
    <row r="523">
      <c r="A523" s="93"/>
      <c r="F523" s="94"/>
      <c r="H523" s="95"/>
      <c r="O523" s="95"/>
    </row>
    <row r="524">
      <c r="A524" s="93"/>
      <c r="F524" s="94"/>
      <c r="H524" s="95"/>
      <c r="O524" s="95"/>
    </row>
    <row r="525">
      <c r="A525" s="93"/>
      <c r="F525" s="94"/>
      <c r="H525" s="95"/>
      <c r="O525" s="95"/>
    </row>
    <row r="526">
      <c r="A526" s="93"/>
      <c r="F526" s="94"/>
      <c r="H526" s="95"/>
      <c r="O526" s="95"/>
    </row>
    <row r="527">
      <c r="A527" s="93"/>
      <c r="F527" s="94"/>
      <c r="H527" s="95"/>
      <c r="O527" s="95"/>
    </row>
    <row r="528">
      <c r="A528" s="93"/>
      <c r="F528" s="94"/>
      <c r="H528" s="95"/>
      <c r="O528" s="95"/>
    </row>
    <row r="529">
      <c r="A529" s="93"/>
      <c r="F529" s="94"/>
      <c r="H529" s="95"/>
      <c r="O529" s="95"/>
    </row>
    <row r="530">
      <c r="A530" s="93"/>
      <c r="F530" s="94"/>
      <c r="H530" s="95"/>
      <c r="O530" s="95"/>
    </row>
    <row r="531">
      <c r="A531" s="93"/>
      <c r="F531" s="94"/>
      <c r="H531" s="95"/>
      <c r="O531" s="95"/>
    </row>
    <row r="532">
      <c r="A532" s="93"/>
      <c r="F532" s="94"/>
      <c r="H532" s="95"/>
      <c r="O532" s="95"/>
    </row>
    <row r="533">
      <c r="A533" s="93"/>
      <c r="F533" s="94"/>
      <c r="H533" s="95"/>
      <c r="O533" s="95"/>
    </row>
    <row r="534">
      <c r="A534" s="93"/>
      <c r="F534" s="94"/>
      <c r="H534" s="95"/>
      <c r="O534" s="95"/>
    </row>
    <row r="535">
      <c r="A535" s="93"/>
      <c r="F535" s="94"/>
      <c r="H535" s="95"/>
      <c r="O535" s="95"/>
    </row>
    <row r="536">
      <c r="A536" s="93"/>
      <c r="F536" s="94"/>
      <c r="H536" s="95"/>
      <c r="O536" s="95"/>
    </row>
    <row r="537">
      <c r="A537" s="93"/>
      <c r="F537" s="94"/>
      <c r="H537" s="95"/>
      <c r="O537" s="95"/>
    </row>
    <row r="538">
      <c r="A538" s="93"/>
      <c r="F538" s="94"/>
      <c r="H538" s="95"/>
      <c r="O538" s="95"/>
    </row>
    <row r="539">
      <c r="A539" s="93"/>
      <c r="F539" s="94"/>
      <c r="H539" s="95"/>
      <c r="O539" s="95"/>
    </row>
    <row r="540">
      <c r="A540" s="93"/>
      <c r="F540" s="94"/>
      <c r="H540" s="95"/>
      <c r="O540" s="95"/>
    </row>
    <row r="541">
      <c r="A541" s="93"/>
      <c r="F541" s="94"/>
      <c r="H541" s="95"/>
      <c r="O541" s="95"/>
    </row>
    <row r="542">
      <c r="A542" s="93"/>
      <c r="F542" s="94"/>
      <c r="H542" s="95"/>
      <c r="O542" s="95"/>
    </row>
    <row r="543">
      <c r="A543" s="93"/>
      <c r="F543" s="94"/>
      <c r="H543" s="95"/>
      <c r="O543" s="95"/>
    </row>
    <row r="544">
      <c r="A544" s="93"/>
      <c r="F544" s="94"/>
      <c r="H544" s="95"/>
      <c r="O544" s="95"/>
    </row>
    <row r="545">
      <c r="A545" s="93"/>
      <c r="F545" s="94"/>
      <c r="H545" s="95"/>
      <c r="O545" s="95"/>
    </row>
    <row r="546">
      <c r="A546" s="93"/>
      <c r="F546" s="94"/>
      <c r="H546" s="95"/>
      <c r="O546" s="95"/>
    </row>
    <row r="547">
      <c r="A547" s="93"/>
      <c r="F547" s="94"/>
      <c r="H547" s="95"/>
      <c r="O547" s="95"/>
    </row>
    <row r="548">
      <c r="A548" s="93"/>
      <c r="F548" s="94"/>
      <c r="H548" s="95"/>
      <c r="O548" s="95"/>
    </row>
    <row r="549">
      <c r="A549" s="93"/>
      <c r="F549" s="94"/>
      <c r="H549" s="95"/>
      <c r="O549" s="95"/>
    </row>
    <row r="550">
      <c r="A550" s="93"/>
      <c r="F550" s="94"/>
      <c r="H550" s="95"/>
      <c r="O550" s="95"/>
    </row>
    <row r="551">
      <c r="A551" s="93"/>
      <c r="F551" s="94"/>
      <c r="H551" s="95"/>
      <c r="O551" s="95"/>
    </row>
    <row r="552">
      <c r="A552" s="93"/>
      <c r="F552" s="94"/>
      <c r="H552" s="95"/>
      <c r="O552" s="95"/>
    </row>
    <row r="553">
      <c r="A553" s="93"/>
      <c r="F553" s="94"/>
      <c r="H553" s="95"/>
      <c r="O553" s="95"/>
    </row>
    <row r="554">
      <c r="A554" s="93"/>
      <c r="F554" s="94"/>
      <c r="H554" s="95"/>
      <c r="O554" s="95"/>
    </row>
    <row r="555">
      <c r="A555" s="93"/>
      <c r="F555" s="94"/>
      <c r="H555" s="95"/>
      <c r="O555" s="95"/>
    </row>
    <row r="556">
      <c r="A556" s="93"/>
      <c r="F556" s="94"/>
      <c r="H556" s="95"/>
      <c r="O556" s="95"/>
    </row>
    <row r="557">
      <c r="A557" s="93"/>
      <c r="F557" s="94"/>
      <c r="H557" s="95"/>
      <c r="O557" s="95"/>
    </row>
    <row r="558">
      <c r="A558" s="93"/>
      <c r="F558" s="94"/>
      <c r="H558" s="95"/>
      <c r="O558" s="95"/>
    </row>
    <row r="559">
      <c r="A559" s="93"/>
      <c r="F559" s="94"/>
      <c r="H559" s="95"/>
      <c r="O559" s="95"/>
    </row>
    <row r="560">
      <c r="A560" s="93"/>
      <c r="F560" s="94"/>
      <c r="H560" s="95"/>
      <c r="O560" s="95"/>
    </row>
    <row r="561">
      <c r="A561" s="93"/>
      <c r="F561" s="94"/>
      <c r="H561" s="95"/>
      <c r="O561" s="95"/>
    </row>
    <row r="562">
      <c r="A562" s="93"/>
      <c r="F562" s="94"/>
      <c r="H562" s="95"/>
      <c r="O562" s="95"/>
    </row>
    <row r="563">
      <c r="A563" s="93"/>
      <c r="F563" s="94"/>
      <c r="H563" s="95"/>
      <c r="O563" s="95"/>
    </row>
    <row r="564">
      <c r="A564" s="93"/>
      <c r="F564" s="94"/>
      <c r="H564" s="95"/>
      <c r="O564" s="95"/>
    </row>
    <row r="565">
      <c r="A565" s="93"/>
      <c r="F565" s="94"/>
      <c r="H565" s="95"/>
      <c r="O565" s="95"/>
    </row>
    <row r="566">
      <c r="A566" s="93"/>
      <c r="F566" s="94"/>
      <c r="H566" s="95"/>
      <c r="O566" s="95"/>
    </row>
    <row r="567">
      <c r="A567" s="93"/>
      <c r="F567" s="94"/>
      <c r="H567" s="95"/>
      <c r="O567" s="95"/>
    </row>
    <row r="568">
      <c r="A568" s="93"/>
      <c r="F568" s="94"/>
      <c r="H568" s="95"/>
      <c r="O568" s="95"/>
    </row>
    <row r="569">
      <c r="A569" s="93"/>
      <c r="F569" s="94"/>
      <c r="H569" s="95"/>
      <c r="O569" s="95"/>
    </row>
    <row r="570">
      <c r="A570" s="93"/>
      <c r="F570" s="94"/>
      <c r="H570" s="95"/>
      <c r="O570" s="95"/>
    </row>
    <row r="571">
      <c r="A571" s="93"/>
      <c r="F571" s="94"/>
      <c r="H571" s="95"/>
      <c r="O571" s="95"/>
    </row>
    <row r="572">
      <c r="A572" s="93"/>
      <c r="F572" s="94"/>
      <c r="H572" s="95"/>
      <c r="O572" s="95"/>
    </row>
    <row r="573">
      <c r="A573" s="93"/>
      <c r="F573" s="94"/>
      <c r="H573" s="95"/>
      <c r="O573" s="95"/>
    </row>
    <row r="574">
      <c r="A574" s="93"/>
      <c r="F574" s="94"/>
      <c r="H574" s="95"/>
      <c r="O574" s="95"/>
    </row>
    <row r="575">
      <c r="A575" s="93"/>
      <c r="F575" s="94"/>
      <c r="H575" s="95"/>
      <c r="O575" s="95"/>
    </row>
    <row r="576">
      <c r="A576" s="93"/>
      <c r="F576" s="94"/>
      <c r="H576" s="95"/>
      <c r="O576" s="95"/>
    </row>
    <row r="577">
      <c r="A577" s="93"/>
      <c r="F577" s="94"/>
      <c r="H577" s="95"/>
      <c r="O577" s="95"/>
    </row>
    <row r="578">
      <c r="A578" s="93"/>
      <c r="F578" s="94"/>
      <c r="H578" s="95"/>
      <c r="O578" s="95"/>
    </row>
    <row r="579">
      <c r="A579" s="93"/>
      <c r="F579" s="94"/>
      <c r="H579" s="95"/>
      <c r="O579" s="95"/>
    </row>
    <row r="580">
      <c r="A580" s="93"/>
      <c r="F580" s="94"/>
      <c r="H580" s="95"/>
      <c r="O580" s="95"/>
    </row>
    <row r="581">
      <c r="A581" s="93"/>
      <c r="F581" s="94"/>
      <c r="H581" s="95"/>
      <c r="O581" s="95"/>
    </row>
    <row r="582">
      <c r="A582" s="93"/>
      <c r="F582" s="94"/>
      <c r="H582" s="95"/>
      <c r="O582" s="95"/>
    </row>
    <row r="583">
      <c r="A583" s="93"/>
      <c r="F583" s="94"/>
      <c r="H583" s="95"/>
      <c r="O583" s="95"/>
    </row>
    <row r="584">
      <c r="A584" s="93"/>
      <c r="F584" s="94"/>
      <c r="H584" s="95"/>
      <c r="O584" s="95"/>
    </row>
    <row r="585">
      <c r="A585" s="93"/>
      <c r="F585" s="94"/>
      <c r="H585" s="95"/>
      <c r="O585" s="95"/>
    </row>
    <row r="586">
      <c r="A586" s="93"/>
      <c r="F586" s="94"/>
      <c r="H586" s="95"/>
      <c r="O586" s="95"/>
    </row>
    <row r="587">
      <c r="A587" s="93"/>
      <c r="F587" s="94"/>
      <c r="H587" s="95"/>
      <c r="O587" s="95"/>
    </row>
    <row r="588">
      <c r="A588" s="93"/>
      <c r="F588" s="94"/>
      <c r="H588" s="95"/>
      <c r="O588" s="95"/>
    </row>
    <row r="589">
      <c r="A589" s="93"/>
      <c r="F589" s="94"/>
      <c r="H589" s="95"/>
      <c r="O589" s="95"/>
    </row>
    <row r="590">
      <c r="A590" s="93"/>
      <c r="F590" s="94"/>
      <c r="H590" s="95"/>
      <c r="O590" s="95"/>
    </row>
    <row r="591">
      <c r="A591" s="93"/>
      <c r="F591" s="94"/>
      <c r="H591" s="95"/>
      <c r="O591" s="95"/>
    </row>
    <row r="592">
      <c r="A592" s="93"/>
      <c r="F592" s="94"/>
      <c r="H592" s="95"/>
      <c r="O592" s="95"/>
    </row>
    <row r="593">
      <c r="A593" s="93"/>
      <c r="F593" s="94"/>
      <c r="H593" s="95"/>
      <c r="O593" s="95"/>
    </row>
    <row r="594">
      <c r="A594" s="93"/>
      <c r="F594" s="94"/>
      <c r="H594" s="95"/>
      <c r="O594" s="95"/>
    </row>
    <row r="595">
      <c r="A595" s="93"/>
      <c r="F595" s="94"/>
      <c r="H595" s="95"/>
      <c r="O595" s="95"/>
    </row>
    <row r="596">
      <c r="A596" s="93"/>
      <c r="F596" s="94"/>
      <c r="H596" s="95"/>
      <c r="O596" s="95"/>
    </row>
    <row r="597">
      <c r="A597" s="93"/>
      <c r="F597" s="94"/>
      <c r="H597" s="95"/>
      <c r="O597" s="95"/>
    </row>
    <row r="598">
      <c r="A598" s="93"/>
      <c r="F598" s="94"/>
      <c r="H598" s="95"/>
      <c r="O598" s="95"/>
    </row>
    <row r="599">
      <c r="A599" s="93"/>
      <c r="F599" s="94"/>
      <c r="H599" s="95"/>
      <c r="O599" s="95"/>
    </row>
    <row r="600">
      <c r="A600" s="93"/>
      <c r="F600" s="94"/>
      <c r="H600" s="95"/>
      <c r="O600" s="95"/>
    </row>
    <row r="601">
      <c r="A601" s="93"/>
      <c r="F601" s="94"/>
      <c r="H601" s="95"/>
      <c r="O601" s="95"/>
    </row>
    <row r="602">
      <c r="A602" s="93"/>
      <c r="F602" s="94"/>
      <c r="H602" s="95"/>
      <c r="O602" s="95"/>
    </row>
    <row r="603">
      <c r="A603" s="93"/>
      <c r="F603" s="94"/>
      <c r="H603" s="95"/>
      <c r="O603" s="95"/>
    </row>
    <row r="604">
      <c r="A604" s="93"/>
      <c r="F604" s="94"/>
      <c r="H604" s="95"/>
      <c r="O604" s="95"/>
    </row>
    <row r="605">
      <c r="A605" s="93"/>
      <c r="F605" s="94"/>
      <c r="H605" s="95"/>
      <c r="O605" s="95"/>
    </row>
    <row r="606">
      <c r="A606" s="93"/>
      <c r="F606" s="94"/>
      <c r="H606" s="95"/>
      <c r="O606" s="95"/>
    </row>
    <row r="607">
      <c r="A607" s="93"/>
      <c r="F607" s="94"/>
      <c r="H607" s="95"/>
      <c r="O607" s="95"/>
    </row>
    <row r="608">
      <c r="A608" s="93"/>
      <c r="F608" s="94"/>
      <c r="H608" s="95"/>
      <c r="O608" s="95"/>
    </row>
    <row r="609">
      <c r="A609" s="93"/>
      <c r="F609" s="94"/>
      <c r="H609" s="95"/>
      <c r="O609" s="95"/>
    </row>
    <row r="610">
      <c r="A610" s="93"/>
      <c r="F610" s="94"/>
      <c r="H610" s="95"/>
      <c r="O610" s="95"/>
    </row>
    <row r="611">
      <c r="A611" s="93"/>
      <c r="F611" s="94"/>
      <c r="H611" s="95"/>
      <c r="O611" s="95"/>
    </row>
    <row r="612">
      <c r="A612" s="93"/>
      <c r="F612" s="94"/>
      <c r="H612" s="95"/>
      <c r="O612" s="95"/>
    </row>
    <row r="613">
      <c r="A613" s="93"/>
      <c r="F613" s="94"/>
      <c r="H613" s="95"/>
      <c r="O613" s="95"/>
    </row>
    <row r="614">
      <c r="A614" s="93"/>
      <c r="F614" s="94"/>
      <c r="H614" s="95"/>
      <c r="O614" s="95"/>
    </row>
    <row r="615">
      <c r="A615" s="93"/>
      <c r="F615" s="94"/>
      <c r="H615" s="95"/>
      <c r="O615" s="95"/>
    </row>
    <row r="616">
      <c r="A616" s="93"/>
      <c r="F616" s="94"/>
      <c r="H616" s="95"/>
      <c r="O616" s="95"/>
    </row>
    <row r="617">
      <c r="A617" s="93"/>
      <c r="F617" s="94"/>
      <c r="H617" s="95"/>
      <c r="O617" s="95"/>
    </row>
    <row r="618">
      <c r="A618" s="93"/>
      <c r="F618" s="94"/>
      <c r="H618" s="95"/>
      <c r="O618" s="95"/>
    </row>
    <row r="619">
      <c r="A619" s="93"/>
      <c r="F619" s="94"/>
      <c r="H619" s="95"/>
      <c r="O619" s="95"/>
    </row>
    <row r="620">
      <c r="A620" s="93"/>
      <c r="F620" s="94"/>
      <c r="H620" s="95"/>
      <c r="O620" s="95"/>
    </row>
    <row r="621">
      <c r="A621" s="93"/>
      <c r="F621" s="94"/>
      <c r="H621" s="95"/>
      <c r="O621" s="95"/>
    </row>
    <row r="622">
      <c r="A622" s="93"/>
      <c r="F622" s="94"/>
      <c r="H622" s="95"/>
      <c r="O622" s="95"/>
    </row>
    <row r="623">
      <c r="A623" s="93"/>
      <c r="F623" s="94"/>
      <c r="H623" s="95"/>
      <c r="O623" s="95"/>
    </row>
    <row r="624">
      <c r="A624" s="93"/>
      <c r="F624" s="94"/>
      <c r="H624" s="95"/>
      <c r="O624" s="95"/>
    </row>
    <row r="625">
      <c r="A625" s="93"/>
      <c r="F625" s="94"/>
      <c r="H625" s="95"/>
      <c r="O625" s="95"/>
    </row>
    <row r="626">
      <c r="A626" s="93"/>
      <c r="F626" s="94"/>
      <c r="H626" s="95"/>
      <c r="O626" s="95"/>
    </row>
    <row r="627">
      <c r="A627" s="93"/>
      <c r="F627" s="94"/>
      <c r="H627" s="95"/>
      <c r="O627" s="95"/>
    </row>
    <row r="628">
      <c r="A628" s="93"/>
      <c r="F628" s="94"/>
      <c r="H628" s="95"/>
      <c r="O628" s="95"/>
    </row>
    <row r="629">
      <c r="A629" s="93"/>
      <c r="F629" s="94"/>
      <c r="H629" s="95"/>
      <c r="O629" s="95"/>
    </row>
    <row r="630">
      <c r="A630" s="93"/>
      <c r="F630" s="94"/>
      <c r="H630" s="95"/>
      <c r="O630" s="95"/>
    </row>
    <row r="631">
      <c r="A631" s="93"/>
      <c r="F631" s="94"/>
      <c r="H631" s="95"/>
      <c r="O631" s="95"/>
    </row>
    <row r="632">
      <c r="A632" s="93"/>
      <c r="F632" s="94"/>
      <c r="H632" s="95"/>
      <c r="O632" s="95"/>
    </row>
    <row r="633">
      <c r="A633" s="93"/>
      <c r="F633" s="94"/>
      <c r="H633" s="95"/>
      <c r="O633" s="95"/>
    </row>
    <row r="634">
      <c r="A634" s="93"/>
      <c r="F634" s="94"/>
      <c r="H634" s="95"/>
      <c r="O634" s="95"/>
    </row>
    <row r="635">
      <c r="A635" s="93"/>
      <c r="F635" s="94"/>
      <c r="H635" s="95"/>
      <c r="O635" s="95"/>
    </row>
    <row r="636">
      <c r="A636" s="93"/>
      <c r="F636" s="94"/>
      <c r="H636" s="95"/>
      <c r="O636" s="95"/>
    </row>
    <row r="637">
      <c r="A637" s="93"/>
      <c r="F637" s="94"/>
      <c r="H637" s="95"/>
      <c r="O637" s="95"/>
    </row>
    <row r="638">
      <c r="A638" s="93"/>
      <c r="F638" s="94"/>
      <c r="H638" s="95"/>
      <c r="O638" s="95"/>
    </row>
    <row r="639">
      <c r="A639" s="93"/>
      <c r="F639" s="94"/>
      <c r="H639" s="95"/>
      <c r="O639" s="95"/>
    </row>
    <row r="640">
      <c r="A640" s="93"/>
      <c r="F640" s="94"/>
      <c r="H640" s="95"/>
      <c r="O640" s="95"/>
    </row>
    <row r="641">
      <c r="A641" s="93"/>
      <c r="F641" s="94"/>
      <c r="H641" s="95"/>
      <c r="O641" s="95"/>
    </row>
    <row r="642">
      <c r="A642" s="93"/>
      <c r="F642" s="94"/>
      <c r="H642" s="95"/>
      <c r="O642" s="95"/>
    </row>
    <row r="643">
      <c r="A643" s="93"/>
      <c r="F643" s="94"/>
      <c r="H643" s="95"/>
      <c r="O643" s="95"/>
    </row>
    <row r="644">
      <c r="A644" s="93"/>
      <c r="F644" s="94"/>
      <c r="H644" s="95"/>
      <c r="O644" s="95"/>
    </row>
    <row r="645">
      <c r="A645" s="93"/>
      <c r="F645" s="94"/>
      <c r="H645" s="95"/>
      <c r="O645" s="95"/>
    </row>
    <row r="646">
      <c r="A646" s="93"/>
      <c r="F646" s="94"/>
      <c r="H646" s="95"/>
      <c r="O646" s="95"/>
    </row>
    <row r="647">
      <c r="A647" s="93"/>
      <c r="F647" s="94"/>
      <c r="H647" s="95"/>
      <c r="O647" s="95"/>
    </row>
    <row r="648">
      <c r="A648" s="93"/>
      <c r="F648" s="94"/>
      <c r="H648" s="95"/>
      <c r="O648" s="95"/>
    </row>
    <row r="649">
      <c r="A649" s="93"/>
      <c r="F649" s="94"/>
      <c r="H649" s="95"/>
      <c r="O649" s="95"/>
    </row>
    <row r="650">
      <c r="A650" s="93"/>
      <c r="F650" s="94"/>
      <c r="H650" s="95"/>
      <c r="O650" s="95"/>
    </row>
    <row r="651">
      <c r="A651" s="93"/>
      <c r="F651" s="94"/>
      <c r="H651" s="95"/>
      <c r="O651" s="95"/>
    </row>
    <row r="652">
      <c r="A652" s="93"/>
      <c r="F652" s="94"/>
      <c r="H652" s="95"/>
      <c r="O652" s="95"/>
    </row>
    <row r="653">
      <c r="A653" s="93"/>
      <c r="F653" s="94"/>
      <c r="H653" s="95"/>
      <c r="O653" s="95"/>
    </row>
    <row r="654">
      <c r="A654" s="93"/>
      <c r="F654" s="94"/>
      <c r="H654" s="95"/>
      <c r="O654" s="95"/>
    </row>
    <row r="655">
      <c r="A655" s="93"/>
      <c r="F655" s="94"/>
      <c r="H655" s="95"/>
      <c r="O655" s="95"/>
    </row>
    <row r="656">
      <c r="A656" s="93"/>
      <c r="F656" s="94"/>
      <c r="H656" s="95"/>
      <c r="O656" s="95"/>
    </row>
    <row r="657">
      <c r="A657" s="93"/>
      <c r="F657" s="94"/>
      <c r="H657" s="95"/>
      <c r="O657" s="95"/>
    </row>
    <row r="658">
      <c r="A658" s="93"/>
      <c r="F658" s="94"/>
      <c r="H658" s="95"/>
      <c r="O658" s="95"/>
    </row>
    <row r="659">
      <c r="A659" s="93"/>
      <c r="F659" s="94"/>
      <c r="H659" s="95"/>
      <c r="O659" s="95"/>
    </row>
    <row r="660">
      <c r="A660" s="93"/>
      <c r="F660" s="94"/>
      <c r="H660" s="95"/>
      <c r="O660" s="95"/>
    </row>
    <row r="661">
      <c r="A661" s="93"/>
      <c r="F661" s="94"/>
      <c r="H661" s="95"/>
      <c r="O661" s="95"/>
    </row>
    <row r="662">
      <c r="A662" s="93"/>
      <c r="F662" s="94"/>
      <c r="H662" s="95"/>
      <c r="O662" s="95"/>
    </row>
    <row r="663">
      <c r="A663" s="93"/>
      <c r="F663" s="94"/>
      <c r="H663" s="95"/>
      <c r="O663" s="95"/>
    </row>
    <row r="664">
      <c r="A664" s="93"/>
      <c r="F664" s="94"/>
      <c r="H664" s="95"/>
      <c r="O664" s="95"/>
    </row>
    <row r="665">
      <c r="A665" s="93"/>
      <c r="F665" s="94"/>
      <c r="H665" s="95"/>
      <c r="O665" s="95"/>
    </row>
    <row r="666">
      <c r="A666" s="93"/>
      <c r="F666" s="94"/>
      <c r="H666" s="95"/>
      <c r="O666" s="95"/>
    </row>
    <row r="667">
      <c r="A667" s="93"/>
      <c r="F667" s="94"/>
      <c r="H667" s="95"/>
      <c r="O667" s="95"/>
    </row>
    <row r="668">
      <c r="A668" s="93"/>
      <c r="F668" s="94"/>
      <c r="H668" s="95"/>
      <c r="O668" s="95"/>
    </row>
    <row r="669">
      <c r="A669" s="93"/>
      <c r="F669" s="94"/>
      <c r="H669" s="95"/>
      <c r="O669" s="95"/>
    </row>
    <row r="670">
      <c r="A670" s="93"/>
      <c r="F670" s="94"/>
      <c r="H670" s="95"/>
      <c r="O670" s="95"/>
    </row>
    <row r="671">
      <c r="A671" s="93"/>
      <c r="F671" s="94"/>
      <c r="H671" s="95"/>
      <c r="O671" s="95"/>
    </row>
    <row r="672">
      <c r="A672" s="93"/>
      <c r="F672" s="94"/>
      <c r="H672" s="95"/>
      <c r="O672" s="95"/>
    </row>
    <row r="673">
      <c r="A673" s="93"/>
      <c r="F673" s="94"/>
      <c r="H673" s="95"/>
      <c r="O673" s="95"/>
    </row>
    <row r="674">
      <c r="A674" s="93"/>
      <c r="F674" s="94"/>
      <c r="H674" s="95"/>
      <c r="O674" s="95"/>
    </row>
    <row r="675">
      <c r="A675" s="93"/>
      <c r="F675" s="94"/>
      <c r="H675" s="95"/>
      <c r="O675" s="95"/>
    </row>
    <row r="676">
      <c r="A676" s="93"/>
      <c r="F676" s="94"/>
      <c r="H676" s="95"/>
      <c r="O676" s="95"/>
    </row>
    <row r="677">
      <c r="A677" s="93"/>
      <c r="F677" s="94"/>
      <c r="H677" s="95"/>
      <c r="O677" s="95"/>
    </row>
    <row r="678">
      <c r="A678" s="93"/>
      <c r="F678" s="94"/>
      <c r="H678" s="95"/>
      <c r="O678" s="95"/>
    </row>
    <row r="679">
      <c r="A679" s="93"/>
      <c r="F679" s="94"/>
      <c r="H679" s="95"/>
      <c r="O679" s="95"/>
    </row>
    <row r="680">
      <c r="A680" s="93"/>
      <c r="F680" s="94"/>
      <c r="H680" s="95"/>
      <c r="O680" s="95"/>
    </row>
    <row r="681">
      <c r="A681" s="93"/>
      <c r="F681" s="94"/>
      <c r="H681" s="95"/>
      <c r="O681" s="95"/>
    </row>
    <row r="682">
      <c r="A682" s="93"/>
      <c r="F682" s="94"/>
      <c r="H682" s="95"/>
      <c r="O682" s="95"/>
    </row>
    <row r="683">
      <c r="A683" s="93"/>
      <c r="F683" s="94"/>
      <c r="H683" s="95"/>
      <c r="O683" s="95"/>
    </row>
    <row r="684">
      <c r="A684" s="93"/>
      <c r="F684" s="94"/>
      <c r="H684" s="95"/>
      <c r="O684" s="95"/>
    </row>
    <row r="685">
      <c r="A685" s="93"/>
      <c r="F685" s="94"/>
      <c r="H685" s="95"/>
      <c r="O685" s="95"/>
    </row>
    <row r="686">
      <c r="A686" s="93"/>
      <c r="F686" s="94"/>
      <c r="H686" s="95"/>
      <c r="O686" s="95"/>
    </row>
    <row r="687">
      <c r="A687" s="93"/>
      <c r="F687" s="94"/>
      <c r="H687" s="95"/>
      <c r="O687" s="95"/>
    </row>
    <row r="688">
      <c r="A688" s="93"/>
      <c r="F688" s="94"/>
      <c r="H688" s="95"/>
      <c r="O688" s="95"/>
    </row>
    <row r="689">
      <c r="A689" s="93"/>
      <c r="F689" s="94"/>
      <c r="H689" s="95"/>
      <c r="O689" s="95"/>
    </row>
    <row r="690">
      <c r="A690" s="93"/>
      <c r="F690" s="94"/>
      <c r="H690" s="95"/>
      <c r="O690" s="95"/>
    </row>
    <row r="691">
      <c r="A691" s="93"/>
      <c r="F691" s="94"/>
      <c r="H691" s="95"/>
      <c r="O691" s="95"/>
    </row>
    <row r="692">
      <c r="A692" s="93"/>
      <c r="F692" s="94"/>
      <c r="H692" s="95"/>
      <c r="O692" s="95"/>
    </row>
    <row r="693">
      <c r="A693" s="93"/>
      <c r="F693" s="94"/>
      <c r="H693" s="95"/>
      <c r="O693" s="95"/>
    </row>
    <row r="694">
      <c r="A694" s="93"/>
      <c r="F694" s="94"/>
      <c r="H694" s="95"/>
      <c r="O694" s="95"/>
    </row>
    <row r="695">
      <c r="A695" s="93"/>
      <c r="F695" s="94"/>
      <c r="H695" s="95"/>
      <c r="O695" s="95"/>
    </row>
    <row r="696">
      <c r="A696" s="93"/>
      <c r="F696" s="94"/>
      <c r="H696" s="95"/>
      <c r="O696" s="95"/>
    </row>
    <row r="697">
      <c r="A697" s="93"/>
      <c r="F697" s="94"/>
      <c r="H697" s="95"/>
      <c r="O697" s="95"/>
    </row>
    <row r="698">
      <c r="A698" s="93"/>
      <c r="F698" s="94"/>
      <c r="H698" s="95"/>
      <c r="O698" s="95"/>
    </row>
    <row r="699">
      <c r="A699" s="93"/>
      <c r="F699" s="94"/>
      <c r="H699" s="95"/>
      <c r="O699" s="95"/>
    </row>
    <row r="700">
      <c r="A700" s="93"/>
      <c r="F700" s="94"/>
      <c r="H700" s="95"/>
      <c r="O700" s="95"/>
    </row>
    <row r="701">
      <c r="A701" s="93"/>
      <c r="F701" s="94"/>
      <c r="H701" s="95"/>
      <c r="O701" s="95"/>
    </row>
    <row r="702">
      <c r="A702" s="93"/>
      <c r="F702" s="94"/>
      <c r="H702" s="95"/>
      <c r="O702" s="95"/>
    </row>
    <row r="703">
      <c r="A703" s="93"/>
      <c r="F703" s="94"/>
      <c r="H703" s="95"/>
      <c r="O703" s="95"/>
    </row>
    <row r="704">
      <c r="A704" s="93"/>
      <c r="F704" s="94"/>
      <c r="H704" s="95"/>
      <c r="O704" s="95"/>
    </row>
    <row r="705">
      <c r="A705" s="93"/>
      <c r="F705" s="94"/>
      <c r="H705" s="95"/>
      <c r="O705" s="95"/>
    </row>
    <row r="706">
      <c r="A706" s="93"/>
      <c r="F706" s="94"/>
      <c r="H706" s="95"/>
      <c r="O706" s="95"/>
    </row>
    <row r="707">
      <c r="A707" s="93"/>
      <c r="F707" s="94"/>
      <c r="H707" s="95"/>
      <c r="O707" s="95"/>
    </row>
    <row r="708">
      <c r="A708" s="93"/>
      <c r="F708" s="94"/>
      <c r="H708" s="95"/>
      <c r="O708" s="95"/>
    </row>
    <row r="709">
      <c r="A709" s="93"/>
      <c r="F709" s="94"/>
      <c r="H709" s="95"/>
      <c r="O709" s="95"/>
    </row>
    <row r="710">
      <c r="A710" s="93"/>
      <c r="F710" s="94"/>
      <c r="H710" s="95"/>
      <c r="O710" s="95"/>
    </row>
    <row r="711">
      <c r="A711" s="93"/>
      <c r="F711" s="94"/>
      <c r="H711" s="95"/>
      <c r="O711" s="95"/>
    </row>
    <row r="712">
      <c r="A712" s="93"/>
      <c r="F712" s="94"/>
      <c r="H712" s="95"/>
      <c r="O712" s="95"/>
    </row>
    <row r="713">
      <c r="A713" s="93"/>
      <c r="F713" s="94"/>
      <c r="H713" s="95"/>
      <c r="O713" s="95"/>
    </row>
    <row r="714">
      <c r="A714" s="93"/>
      <c r="F714" s="94"/>
      <c r="H714" s="95"/>
      <c r="O714" s="95"/>
    </row>
    <row r="715">
      <c r="A715" s="93"/>
      <c r="F715" s="94"/>
      <c r="H715" s="95"/>
      <c r="O715" s="95"/>
    </row>
    <row r="716">
      <c r="A716" s="93"/>
      <c r="F716" s="94"/>
      <c r="H716" s="95"/>
      <c r="O716" s="95"/>
    </row>
    <row r="717">
      <c r="A717" s="93"/>
      <c r="F717" s="94"/>
      <c r="H717" s="95"/>
      <c r="O717" s="95"/>
    </row>
    <row r="718">
      <c r="A718" s="93"/>
      <c r="F718" s="94"/>
      <c r="H718" s="95"/>
      <c r="O718" s="95"/>
    </row>
    <row r="719">
      <c r="A719" s="93"/>
      <c r="F719" s="94"/>
      <c r="H719" s="95"/>
      <c r="O719" s="95"/>
    </row>
    <row r="720">
      <c r="A720" s="93"/>
      <c r="F720" s="94"/>
      <c r="H720" s="95"/>
      <c r="O720" s="95"/>
    </row>
    <row r="721">
      <c r="A721" s="93"/>
      <c r="F721" s="94"/>
      <c r="H721" s="95"/>
      <c r="O721" s="95"/>
    </row>
    <row r="722">
      <c r="A722" s="93"/>
      <c r="F722" s="94"/>
      <c r="H722" s="95"/>
      <c r="O722" s="95"/>
    </row>
    <row r="723">
      <c r="A723" s="93"/>
      <c r="F723" s="94"/>
      <c r="H723" s="95"/>
      <c r="O723" s="95"/>
    </row>
    <row r="724">
      <c r="A724" s="93"/>
      <c r="F724" s="94"/>
      <c r="H724" s="95"/>
      <c r="O724" s="95"/>
    </row>
    <row r="725">
      <c r="A725" s="93"/>
      <c r="F725" s="94"/>
      <c r="H725" s="95"/>
      <c r="O725" s="95"/>
    </row>
    <row r="726">
      <c r="A726" s="93"/>
      <c r="F726" s="94"/>
      <c r="H726" s="95"/>
      <c r="O726" s="95"/>
    </row>
    <row r="727">
      <c r="A727" s="93"/>
      <c r="F727" s="94"/>
      <c r="H727" s="95"/>
      <c r="O727" s="95"/>
    </row>
    <row r="728">
      <c r="A728" s="93"/>
      <c r="F728" s="94"/>
      <c r="H728" s="95"/>
      <c r="O728" s="95"/>
    </row>
    <row r="729">
      <c r="A729" s="93"/>
      <c r="F729" s="94"/>
      <c r="H729" s="95"/>
      <c r="O729" s="95"/>
    </row>
    <row r="730">
      <c r="A730" s="93"/>
      <c r="F730" s="94"/>
      <c r="H730" s="95"/>
      <c r="O730" s="95"/>
    </row>
    <row r="731">
      <c r="A731" s="93"/>
      <c r="F731" s="94"/>
      <c r="H731" s="95"/>
      <c r="O731" s="95"/>
    </row>
    <row r="732">
      <c r="A732" s="93"/>
      <c r="F732" s="94"/>
      <c r="H732" s="95"/>
      <c r="O732" s="95"/>
    </row>
    <row r="733">
      <c r="A733" s="93"/>
      <c r="F733" s="94"/>
      <c r="H733" s="95"/>
      <c r="O733" s="95"/>
    </row>
    <row r="734">
      <c r="A734" s="93"/>
      <c r="F734" s="94"/>
      <c r="H734" s="95"/>
      <c r="O734" s="95"/>
    </row>
    <row r="735">
      <c r="A735" s="93"/>
      <c r="F735" s="94"/>
      <c r="H735" s="95"/>
      <c r="O735" s="95"/>
    </row>
    <row r="736">
      <c r="A736" s="93"/>
      <c r="F736" s="94"/>
      <c r="H736" s="95"/>
      <c r="O736" s="95"/>
    </row>
    <row r="737">
      <c r="A737" s="93"/>
      <c r="F737" s="94"/>
      <c r="H737" s="95"/>
      <c r="O737" s="95"/>
    </row>
    <row r="738">
      <c r="A738" s="93"/>
      <c r="F738" s="94"/>
      <c r="H738" s="95"/>
      <c r="O738" s="95"/>
    </row>
    <row r="739">
      <c r="A739" s="93"/>
      <c r="F739" s="94"/>
      <c r="H739" s="95"/>
      <c r="O739" s="95"/>
    </row>
    <row r="740">
      <c r="A740" s="93"/>
      <c r="F740" s="94"/>
      <c r="H740" s="95"/>
      <c r="O740" s="95"/>
    </row>
    <row r="741">
      <c r="A741" s="93"/>
      <c r="F741" s="94"/>
      <c r="H741" s="95"/>
      <c r="O741" s="95"/>
    </row>
    <row r="742">
      <c r="A742" s="93"/>
      <c r="F742" s="94"/>
      <c r="H742" s="95"/>
      <c r="O742" s="95"/>
    </row>
    <row r="743">
      <c r="A743" s="93"/>
      <c r="F743" s="94"/>
      <c r="H743" s="95"/>
      <c r="O743" s="95"/>
    </row>
    <row r="744">
      <c r="A744" s="93"/>
      <c r="F744" s="94"/>
      <c r="H744" s="95"/>
      <c r="O744" s="95"/>
    </row>
    <row r="745">
      <c r="A745" s="93"/>
      <c r="F745" s="94"/>
      <c r="H745" s="95"/>
      <c r="O745" s="95"/>
    </row>
    <row r="746">
      <c r="A746" s="93"/>
      <c r="F746" s="94"/>
      <c r="H746" s="95"/>
      <c r="O746" s="95"/>
    </row>
    <row r="747">
      <c r="A747" s="93"/>
      <c r="F747" s="94"/>
      <c r="H747" s="95"/>
      <c r="O747" s="95"/>
    </row>
    <row r="748">
      <c r="A748" s="93"/>
      <c r="F748" s="94"/>
      <c r="H748" s="95"/>
      <c r="O748" s="95"/>
    </row>
    <row r="749">
      <c r="A749" s="93"/>
      <c r="F749" s="94"/>
      <c r="H749" s="95"/>
      <c r="O749" s="95"/>
    </row>
    <row r="750">
      <c r="A750" s="93"/>
      <c r="F750" s="94"/>
      <c r="H750" s="95"/>
      <c r="O750" s="95"/>
    </row>
    <row r="751">
      <c r="A751" s="93"/>
      <c r="F751" s="94"/>
      <c r="H751" s="95"/>
      <c r="O751" s="95"/>
    </row>
    <row r="752">
      <c r="A752" s="93"/>
      <c r="F752" s="94"/>
      <c r="H752" s="95"/>
      <c r="O752" s="95"/>
    </row>
    <row r="753">
      <c r="A753" s="93"/>
      <c r="F753" s="94"/>
      <c r="H753" s="95"/>
      <c r="O753" s="95"/>
    </row>
    <row r="754">
      <c r="A754" s="93"/>
      <c r="F754" s="94"/>
      <c r="H754" s="95"/>
      <c r="O754" s="95"/>
    </row>
    <row r="755">
      <c r="A755" s="93"/>
      <c r="F755" s="94"/>
      <c r="H755" s="95"/>
      <c r="O755" s="95"/>
    </row>
    <row r="756">
      <c r="A756" s="93"/>
      <c r="F756" s="94"/>
      <c r="H756" s="95"/>
      <c r="O756" s="95"/>
    </row>
    <row r="757">
      <c r="A757" s="93"/>
      <c r="F757" s="94"/>
      <c r="H757" s="95"/>
      <c r="O757" s="95"/>
    </row>
    <row r="758">
      <c r="A758" s="93"/>
      <c r="F758" s="94"/>
      <c r="H758" s="95"/>
      <c r="O758" s="95"/>
    </row>
    <row r="759">
      <c r="A759" s="93"/>
      <c r="F759" s="94"/>
      <c r="H759" s="95"/>
      <c r="O759" s="95"/>
    </row>
    <row r="760">
      <c r="A760" s="93"/>
      <c r="F760" s="94"/>
      <c r="H760" s="95"/>
      <c r="O760" s="95"/>
    </row>
    <row r="761">
      <c r="A761" s="93"/>
      <c r="F761" s="94"/>
      <c r="H761" s="95"/>
      <c r="O761" s="95"/>
    </row>
    <row r="762">
      <c r="A762" s="93"/>
      <c r="F762" s="94"/>
      <c r="H762" s="95"/>
      <c r="O762" s="95"/>
    </row>
    <row r="763">
      <c r="A763" s="93"/>
      <c r="F763" s="94"/>
      <c r="H763" s="95"/>
      <c r="O763" s="95"/>
    </row>
    <row r="764">
      <c r="A764" s="93"/>
      <c r="F764" s="94"/>
      <c r="H764" s="95"/>
      <c r="O764" s="95"/>
    </row>
    <row r="765">
      <c r="A765" s="93"/>
      <c r="F765" s="94"/>
      <c r="H765" s="95"/>
      <c r="O765" s="95"/>
    </row>
    <row r="766">
      <c r="A766" s="93"/>
      <c r="F766" s="94"/>
      <c r="H766" s="95"/>
      <c r="O766" s="95"/>
    </row>
    <row r="767">
      <c r="A767" s="93"/>
      <c r="F767" s="94"/>
      <c r="H767" s="95"/>
      <c r="O767" s="95"/>
    </row>
    <row r="768">
      <c r="A768" s="93"/>
      <c r="F768" s="94"/>
      <c r="H768" s="95"/>
      <c r="O768" s="95"/>
    </row>
    <row r="769">
      <c r="A769" s="93"/>
      <c r="F769" s="94"/>
      <c r="H769" s="95"/>
      <c r="O769" s="95"/>
    </row>
    <row r="770">
      <c r="A770" s="93"/>
      <c r="F770" s="94"/>
      <c r="H770" s="95"/>
      <c r="O770" s="95"/>
    </row>
    <row r="771">
      <c r="A771" s="93"/>
      <c r="F771" s="94"/>
      <c r="H771" s="95"/>
      <c r="O771" s="95"/>
    </row>
    <row r="772">
      <c r="A772" s="93"/>
      <c r="F772" s="94"/>
      <c r="H772" s="95"/>
      <c r="O772" s="95"/>
    </row>
    <row r="773">
      <c r="A773" s="93"/>
      <c r="F773" s="94"/>
      <c r="H773" s="95"/>
      <c r="O773" s="95"/>
    </row>
    <row r="774">
      <c r="A774" s="93"/>
      <c r="F774" s="94"/>
      <c r="H774" s="95"/>
      <c r="O774" s="95"/>
    </row>
    <row r="775">
      <c r="A775" s="93"/>
      <c r="F775" s="94"/>
      <c r="H775" s="95"/>
      <c r="O775" s="95"/>
    </row>
    <row r="776">
      <c r="A776" s="93"/>
      <c r="F776" s="94"/>
      <c r="H776" s="95"/>
      <c r="O776" s="95"/>
    </row>
    <row r="777">
      <c r="A777" s="93"/>
      <c r="F777" s="94"/>
      <c r="H777" s="95"/>
      <c r="O777" s="95"/>
    </row>
    <row r="778">
      <c r="A778" s="93"/>
      <c r="F778" s="94"/>
      <c r="H778" s="95"/>
      <c r="O778" s="95"/>
    </row>
    <row r="779">
      <c r="A779" s="93"/>
      <c r="F779" s="94"/>
      <c r="H779" s="95"/>
      <c r="O779" s="95"/>
    </row>
    <row r="780">
      <c r="A780" s="93"/>
      <c r="F780" s="94"/>
      <c r="H780" s="95"/>
      <c r="O780" s="95"/>
    </row>
    <row r="781">
      <c r="A781" s="93"/>
      <c r="F781" s="94"/>
      <c r="H781" s="95"/>
      <c r="O781" s="95"/>
    </row>
    <row r="782">
      <c r="A782" s="93"/>
      <c r="F782" s="94"/>
      <c r="H782" s="95"/>
      <c r="O782" s="95"/>
    </row>
    <row r="783">
      <c r="A783" s="93"/>
      <c r="F783" s="94"/>
      <c r="H783" s="95"/>
      <c r="O783" s="95"/>
    </row>
    <row r="784">
      <c r="A784" s="93"/>
      <c r="F784" s="94"/>
      <c r="H784" s="95"/>
      <c r="O784" s="95"/>
    </row>
    <row r="785">
      <c r="A785" s="93"/>
      <c r="F785" s="94"/>
      <c r="H785" s="95"/>
      <c r="O785" s="95"/>
    </row>
    <row r="786">
      <c r="A786" s="93"/>
      <c r="F786" s="94"/>
      <c r="H786" s="95"/>
      <c r="O786" s="95"/>
    </row>
    <row r="787">
      <c r="A787" s="93"/>
      <c r="F787" s="94"/>
      <c r="H787" s="95"/>
      <c r="O787" s="95"/>
    </row>
    <row r="788">
      <c r="A788" s="93"/>
      <c r="F788" s="94"/>
      <c r="H788" s="95"/>
      <c r="O788" s="95"/>
    </row>
    <row r="789">
      <c r="A789" s="93"/>
      <c r="F789" s="94"/>
      <c r="H789" s="95"/>
      <c r="O789" s="95"/>
    </row>
    <row r="790">
      <c r="A790" s="93"/>
      <c r="F790" s="94"/>
      <c r="H790" s="95"/>
      <c r="O790" s="95"/>
    </row>
    <row r="791">
      <c r="A791" s="93"/>
      <c r="F791" s="94"/>
      <c r="H791" s="95"/>
      <c r="O791" s="95"/>
    </row>
    <row r="792">
      <c r="A792" s="93"/>
      <c r="F792" s="94"/>
      <c r="H792" s="95"/>
      <c r="O792" s="95"/>
    </row>
    <row r="793">
      <c r="A793" s="93"/>
      <c r="F793" s="94"/>
      <c r="H793" s="95"/>
      <c r="O793" s="95"/>
    </row>
    <row r="794">
      <c r="A794" s="93"/>
      <c r="F794" s="94"/>
      <c r="H794" s="95"/>
      <c r="O794" s="95"/>
    </row>
    <row r="795">
      <c r="A795" s="93"/>
      <c r="F795" s="94"/>
      <c r="H795" s="95"/>
      <c r="O795" s="95"/>
    </row>
    <row r="796">
      <c r="A796" s="93"/>
      <c r="F796" s="94"/>
      <c r="H796" s="95"/>
      <c r="O796" s="95"/>
    </row>
    <row r="797">
      <c r="A797" s="93"/>
      <c r="F797" s="94"/>
      <c r="H797" s="95"/>
      <c r="O797" s="95"/>
    </row>
    <row r="798">
      <c r="A798" s="93"/>
      <c r="F798" s="94"/>
      <c r="H798" s="95"/>
      <c r="O798" s="95"/>
    </row>
    <row r="799">
      <c r="A799" s="93"/>
      <c r="F799" s="94"/>
      <c r="H799" s="95"/>
      <c r="O799" s="95"/>
    </row>
    <row r="800">
      <c r="A800" s="93"/>
      <c r="F800" s="94"/>
      <c r="H800" s="95"/>
      <c r="O800" s="95"/>
    </row>
    <row r="801">
      <c r="A801" s="93"/>
      <c r="F801" s="94"/>
      <c r="H801" s="95"/>
      <c r="O801" s="95"/>
    </row>
    <row r="802">
      <c r="A802" s="93"/>
      <c r="F802" s="94"/>
      <c r="H802" s="95"/>
      <c r="O802" s="95"/>
    </row>
    <row r="803">
      <c r="A803" s="93"/>
      <c r="F803" s="94"/>
      <c r="H803" s="95"/>
      <c r="O803" s="95"/>
    </row>
    <row r="804">
      <c r="A804" s="93"/>
      <c r="F804" s="94"/>
      <c r="H804" s="95"/>
      <c r="O804" s="95"/>
    </row>
    <row r="805">
      <c r="A805" s="93"/>
      <c r="F805" s="94"/>
      <c r="H805" s="95"/>
      <c r="O805" s="95"/>
    </row>
    <row r="806">
      <c r="A806" s="93"/>
      <c r="F806" s="94"/>
      <c r="H806" s="95"/>
      <c r="O806" s="95"/>
    </row>
    <row r="807">
      <c r="A807" s="93"/>
      <c r="F807" s="94"/>
      <c r="H807" s="95"/>
      <c r="O807" s="95"/>
    </row>
    <row r="808">
      <c r="A808" s="93"/>
      <c r="F808" s="94"/>
      <c r="H808" s="95"/>
      <c r="O808" s="95"/>
    </row>
    <row r="809">
      <c r="A809" s="93"/>
      <c r="F809" s="94"/>
      <c r="H809" s="95"/>
      <c r="O809" s="95"/>
    </row>
    <row r="810">
      <c r="A810" s="93"/>
      <c r="F810" s="94"/>
      <c r="H810" s="95"/>
      <c r="O810" s="95"/>
    </row>
    <row r="811">
      <c r="A811" s="93"/>
      <c r="F811" s="94"/>
      <c r="H811" s="95"/>
      <c r="O811" s="95"/>
    </row>
    <row r="812">
      <c r="A812" s="93"/>
      <c r="F812" s="94"/>
      <c r="H812" s="95"/>
      <c r="O812" s="95"/>
    </row>
    <row r="813">
      <c r="A813" s="93"/>
      <c r="F813" s="94"/>
      <c r="H813" s="95"/>
      <c r="O813" s="95"/>
    </row>
    <row r="814">
      <c r="A814" s="93"/>
      <c r="F814" s="94"/>
      <c r="H814" s="95"/>
      <c r="O814" s="95"/>
    </row>
    <row r="815">
      <c r="A815" s="93"/>
      <c r="F815" s="94"/>
      <c r="H815" s="95"/>
      <c r="O815" s="95"/>
    </row>
    <row r="816">
      <c r="A816" s="93"/>
      <c r="F816" s="94"/>
      <c r="H816" s="95"/>
      <c r="O816" s="95"/>
    </row>
    <row r="817">
      <c r="A817" s="93"/>
      <c r="F817" s="94"/>
      <c r="H817" s="95"/>
      <c r="O817" s="95"/>
    </row>
    <row r="818">
      <c r="A818" s="93"/>
      <c r="F818" s="94"/>
      <c r="H818" s="95"/>
      <c r="O818" s="95"/>
    </row>
    <row r="819">
      <c r="A819" s="93"/>
      <c r="F819" s="94"/>
      <c r="H819" s="95"/>
      <c r="O819" s="95"/>
    </row>
    <row r="820">
      <c r="A820" s="93"/>
      <c r="F820" s="94"/>
      <c r="H820" s="95"/>
      <c r="O820" s="95"/>
    </row>
    <row r="821">
      <c r="A821" s="93"/>
      <c r="F821" s="94"/>
      <c r="H821" s="95"/>
      <c r="O821" s="95"/>
    </row>
    <row r="822">
      <c r="A822" s="93"/>
      <c r="F822" s="94"/>
      <c r="H822" s="95"/>
      <c r="O822" s="95"/>
    </row>
    <row r="823">
      <c r="A823" s="93"/>
      <c r="F823" s="94"/>
      <c r="H823" s="95"/>
      <c r="O823" s="95"/>
    </row>
    <row r="824">
      <c r="A824" s="93"/>
      <c r="F824" s="94"/>
      <c r="H824" s="95"/>
      <c r="O824" s="95"/>
    </row>
    <row r="825">
      <c r="A825" s="93"/>
      <c r="F825" s="94"/>
      <c r="H825" s="95"/>
      <c r="O825" s="95"/>
    </row>
    <row r="826">
      <c r="A826" s="93"/>
      <c r="F826" s="94"/>
      <c r="H826" s="95"/>
      <c r="O826" s="95"/>
    </row>
    <row r="827">
      <c r="A827" s="93"/>
      <c r="F827" s="94"/>
      <c r="H827" s="95"/>
      <c r="O827" s="95"/>
    </row>
    <row r="828">
      <c r="A828" s="93"/>
      <c r="F828" s="94"/>
      <c r="H828" s="95"/>
      <c r="O828" s="95"/>
    </row>
    <row r="829">
      <c r="A829" s="93"/>
      <c r="F829" s="94"/>
      <c r="H829" s="95"/>
      <c r="O829" s="95"/>
    </row>
    <row r="830">
      <c r="A830" s="93"/>
      <c r="F830" s="94"/>
      <c r="H830" s="95"/>
      <c r="O830" s="95"/>
    </row>
    <row r="831">
      <c r="A831" s="93"/>
      <c r="F831" s="94"/>
      <c r="H831" s="95"/>
      <c r="O831" s="95"/>
    </row>
    <row r="832">
      <c r="A832" s="93"/>
      <c r="F832" s="94"/>
      <c r="H832" s="95"/>
      <c r="O832" s="95"/>
    </row>
    <row r="833">
      <c r="A833" s="93"/>
      <c r="F833" s="94"/>
      <c r="H833" s="95"/>
      <c r="O833" s="95"/>
    </row>
    <row r="834">
      <c r="A834" s="93"/>
      <c r="F834" s="94"/>
      <c r="H834" s="95"/>
      <c r="O834" s="95"/>
    </row>
    <row r="835">
      <c r="A835" s="93"/>
      <c r="F835" s="94"/>
      <c r="H835" s="95"/>
      <c r="O835" s="95"/>
    </row>
    <row r="836">
      <c r="A836" s="93"/>
      <c r="F836" s="94"/>
      <c r="H836" s="95"/>
      <c r="O836" s="95"/>
    </row>
    <row r="837">
      <c r="A837" s="93"/>
      <c r="F837" s="94"/>
      <c r="H837" s="95"/>
      <c r="O837" s="95"/>
    </row>
    <row r="838">
      <c r="A838" s="93"/>
      <c r="F838" s="94"/>
      <c r="H838" s="95"/>
      <c r="O838" s="95"/>
    </row>
    <row r="839">
      <c r="A839" s="93"/>
      <c r="F839" s="94"/>
      <c r="H839" s="95"/>
      <c r="O839" s="95"/>
    </row>
    <row r="840">
      <c r="A840" s="93"/>
      <c r="F840" s="94"/>
      <c r="H840" s="95"/>
      <c r="O840" s="95"/>
    </row>
    <row r="841">
      <c r="A841" s="93"/>
      <c r="F841" s="94"/>
      <c r="H841" s="95"/>
      <c r="O841" s="95"/>
    </row>
    <row r="842">
      <c r="A842" s="93"/>
      <c r="F842" s="94"/>
      <c r="H842" s="95"/>
      <c r="O842" s="95"/>
    </row>
    <row r="843">
      <c r="A843" s="93"/>
      <c r="F843" s="94"/>
      <c r="H843" s="95"/>
      <c r="O843" s="95"/>
    </row>
    <row r="844">
      <c r="A844" s="93"/>
      <c r="F844" s="94"/>
      <c r="H844" s="95"/>
      <c r="O844" s="95"/>
    </row>
    <row r="845">
      <c r="A845" s="93"/>
      <c r="F845" s="94"/>
      <c r="H845" s="95"/>
      <c r="O845" s="95"/>
    </row>
    <row r="846">
      <c r="A846" s="93"/>
      <c r="F846" s="94"/>
      <c r="H846" s="95"/>
      <c r="O846" s="95"/>
    </row>
    <row r="847">
      <c r="A847" s="93"/>
      <c r="F847" s="94"/>
      <c r="H847" s="95"/>
      <c r="O847" s="95"/>
    </row>
    <row r="848">
      <c r="A848" s="93"/>
      <c r="F848" s="94"/>
      <c r="H848" s="95"/>
      <c r="O848" s="95"/>
    </row>
    <row r="849">
      <c r="A849" s="93"/>
      <c r="F849" s="94"/>
      <c r="H849" s="95"/>
      <c r="O849" s="95"/>
    </row>
    <row r="850">
      <c r="A850" s="93"/>
      <c r="F850" s="94"/>
      <c r="H850" s="95"/>
      <c r="O850" s="95"/>
    </row>
    <row r="851">
      <c r="A851" s="93"/>
      <c r="F851" s="94"/>
      <c r="H851" s="95"/>
      <c r="O851" s="95"/>
    </row>
    <row r="852">
      <c r="A852" s="93"/>
      <c r="F852" s="94"/>
      <c r="H852" s="95"/>
      <c r="O852" s="95"/>
    </row>
    <row r="853">
      <c r="A853" s="93"/>
      <c r="F853" s="94"/>
      <c r="H853" s="95"/>
      <c r="O853" s="95"/>
    </row>
    <row r="854">
      <c r="A854" s="93"/>
      <c r="F854" s="94"/>
      <c r="H854" s="95"/>
      <c r="O854" s="95"/>
    </row>
    <row r="855">
      <c r="A855" s="93"/>
      <c r="F855" s="94"/>
      <c r="H855" s="95"/>
      <c r="O855" s="95"/>
    </row>
    <row r="856">
      <c r="A856" s="93"/>
      <c r="F856" s="94"/>
      <c r="H856" s="95"/>
      <c r="O856" s="95"/>
    </row>
    <row r="857">
      <c r="A857" s="93"/>
      <c r="F857" s="94"/>
      <c r="H857" s="95"/>
      <c r="O857" s="95"/>
    </row>
    <row r="858">
      <c r="A858" s="93"/>
      <c r="F858" s="94"/>
      <c r="H858" s="95"/>
      <c r="O858" s="95"/>
    </row>
    <row r="859">
      <c r="A859" s="93"/>
      <c r="F859" s="94"/>
      <c r="H859" s="95"/>
      <c r="O859" s="95"/>
    </row>
    <row r="860">
      <c r="A860" s="93"/>
      <c r="F860" s="94"/>
      <c r="H860" s="95"/>
      <c r="O860" s="95"/>
    </row>
    <row r="861">
      <c r="A861" s="93"/>
      <c r="F861" s="94"/>
      <c r="H861" s="95"/>
      <c r="O861" s="95"/>
    </row>
    <row r="862">
      <c r="A862" s="93"/>
      <c r="F862" s="94"/>
      <c r="H862" s="95"/>
      <c r="O862" s="95"/>
    </row>
    <row r="863">
      <c r="A863" s="93"/>
      <c r="F863" s="94"/>
      <c r="H863" s="95"/>
      <c r="O863" s="95"/>
    </row>
    <row r="864">
      <c r="A864" s="93"/>
      <c r="F864" s="94"/>
      <c r="H864" s="95"/>
      <c r="O864" s="95"/>
    </row>
    <row r="865">
      <c r="A865" s="93"/>
      <c r="F865" s="94"/>
      <c r="H865" s="95"/>
      <c r="O865" s="95"/>
    </row>
    <row r="866">
      <c r="A866" s="93"/>
      <c r="F866" s="94"/>
      <c r="H866" s="95"/>
      <c r="O866" s="95"/>
    </row>
    <row r="867">
      <c r="A867" s="93"/>
      <c r="F867" s="94"/>
      <c r="H867" s="95"/>
      <c r="O867" s="95"/>
    </row>
    <row r="868">
      <c r="A868" s="93"/>
      <c r="F868" s="94"/>
      <c r="H868" s="95"/>
      <c r="O868" s="95"/>
    </row>
    <row r="869">
      <c r="A869" s="93"/>
      <c r="F869" s="94"/>
      <c r="H869" s="95"/>
      <c r="O869" s="95"/>
    </row>
    <row r="870">
      <c r="A870" s="93"/>
      <c r="F870" s="94"/>
      <c r="H870" s="95"/>
      <c r="O870" s="95"/>
    </row>
    <row r="871">
      <c r="A871" s="93"/>
      <c r="F871" s="94"/>
      <c r="H871" s="95"/>
      <c r="O871" s="95"/>
    </row>
    <row r="872">
      <c r="A872" s="93"/>
      <c r="F872" s="94"/>
      <c r="H872" s="95"/>
      <c r="O872" s="95"/>
    </row>
    <row r="873">
      <c r="A873" s="93"/>
      <c r="F873" s="94"/>
      <c r="H873" s="95"/>
      <c r="O873" s="95"/>
    </row>
    <row r="874">
      <c r="A874" s="93"/>
      <c r="F874" s="94"/>
      <c r="H874" s="95"/>
      <c r="O874" s="95"/>
    </row>
    <row r="875">
      <c r="A875" s="93"/>
      <c r="F875" s="94"/>
      <c r="H875" s="95"/>
      <c r="O875" s="95"/>
    </row>
    <row r="876">
      <c r="A876" s="93"/>
      <c r="F876" s="94"/>
      <c r="H876" s="95"/>
      <c r="O876" s="95"/>
    </row>
    <row r="877">
      <c r="A877" s="93"/>
      <c r="F877" s="94"/>
      <c r="H877" s="95"/>
      <c r="O877" s="95"/>
    </row>
    <row r="878">
      <c r="A878" s="93"/>
      <c r="F878" s="94"/>
      <c r="H878" s="95"/>
      <c r="O878" s="95"/>
    </row>
    <row r="879">
      <c r="A879" s="93"/>
      <c r="F879" s="94"/>
      <c r="H879" s="95"/>
      <c r="O879" s="95"/>
    </row>
    <row r="880">
      <c r="A880" s="93"/>
      <c r="F880" s="94"/>
      <c r="H880" s="95"/>
      <c r="O880" s="95"/>
    </row>
    <row r="881">
      <c r="A881" s="93"/>
      <c r="F881" s="94"/>
      <c r="H881" s="95"/>
      <c r="O881" s="95"/>
    </row>
    <row r="882">
      <c r="A882" s="93"/>
      <c r="F882" s="94"/>
      <c r="H882" s="95"/>
      <c r="O882" s="95"/>
    </row>
    <row r="883">
      <c r="A883" s="93"/>
      <c r="F883" s="94"/>
      <c r="H883" s="95"/>
      <c r="O883" s="95"/>
    </row>
    <row r="884">
      <c r="A884" s="93"/>
      <c r="F884" s="94"/>
      <c r="H884" s="95"/>
      <c r="O884" s="95"/>
    </row>
    <row r="885">
      <c r="A885" s="93"/>
      <c r="F885" s="94"/>
      <c r="H885" s="95"/>
      <c r="O885" s="95"/>
    </row>
    <row r="886">
      <c r="A886" s="93"/>
      <c r="F886" s="94"/>
      <c r="H886" s="95"/>
      <c r="O886" s="95"/>
    </row>
    <row r="887">
      <c r="A887" s="93"/>
      <c r="F887" s="94"/>
      <c r="H887" s="95"/>
      <c r="O887" s="95"/>
    </row>
    <row r="888">
      <c r="A888" s="93"/>
      <c r="F888" s="94"/>
      <c r="H888" s="95"/>
      <c r="O888" s="95"/>
    </row>
    <row r="889">
      <c r="A889" s="93"/>
      <c r="F889" s="94"/>
      <c r="H889" s="95"/>
      <c r="O889" s="95"/>
    </row>
    <row r="890">
      <c r="A890" s="93"/>
      <c r="F890" s="94"/>
      <c r="H890" s="95"/>
      <c r="O890" s="95"/>
    </row>
    <row r="891">
      <c r="A891" s="93"/>
      <c r="F891" s="94"/>
      <c r="H891" s="95"/>
      <c r="O891" s="95"/>
    </row>
    <row r="892">
      <c r="A892" s="93"/>
      <c r="F892" s="94"/>
      <c r="H892" s="95"/>
      <c r="O892" s="95"/>
    </row>
    <row r="893">
      <c r="A893" s="93"/>
      <c r="F893" s="94"/>
      <c r="H893" s="95"/>
      <c r="O893" s="95"/>
    </row>
    <row r="894">
      <c r="A894" s="93"/>
      <c r="F894" s="94"/>
      <c r="H894" s="95"/>
      <c r="O894" s="95"/>
    </row>
    <row r="895">
      <c r="A895" s="93"/>
      <c r="F895" s="94"/>
      <c r="H895" s="95"/>
      <c r="O895" s="95"/>
    </row>
    <row r="896">
      <c r="A896" s="93"/>
      <c r="F896" s="94"/>
      <c r="H896" s="95"/>
      <c r="O896" s="95"/>
    </row>
    <row r="897">
      <c r="A897" s="93"/>
      <c r="F897" s="94"/>
      <c r="H897" s="95"/>
      <c r="O897" s="95"/>
    </row>
    <row r="898">
      <c r="A898" s="93"/>
      <c r="F898" s="94"/>
      <c r="H898" s="95"/>
      <c r="O898" s="95"/>
    </row>
    <row r="899">
      <c r="A899" s="93"/>
      <c r="F899" s="94"/>
      <c r="H899" s="95"/>
      <c r="O899" s="95"/>
    </row>
    <row r="900">
      <c r="A900" s="93"/>
      <c r="F900" s="94"/>
      <c r="H900" s="95"/>
      <c r="O900" s="95"/>
    </row>
    <row r="901">
      <c r="A901" s="93"/>
      <c r="F901" s="94"/>
      <c r="H901" s="95"/>
      <c r="O901" s="95"/>
    </row>
    <row r="902">
      <c r="A902" s="93"/>
      <c r="F902" s="94"/>
      <c r="H902" s="95"/>
      <c r="O902" s="95"/>
    </row>
    <row r="903">
      <c r="A903" s="93"/>
      <c r="F903" s="94"/>
      <c r="H903" s="95"/>
      <c r="O903" s="95"/>
    </row>
    <row r="904">
      <c r="A904" s="93"/>
      <c r="F904" s="94"/>
      <c r="H904" s="95"/>
      <c r="O904" s="95"/>
    </row>
    <row r="905">
      <c r="A905" s="93"/>
      <c r="F905" s="94"/>
      <c r="H905" s="95"/>
      <c r="O905" s="95"/>
    </row>
    <row r="906">
      <c r="A906" s="93"/>
      <c r="F906" s="94"/>
      <c r="H906" s="95"/>
      <c r="O906" s="95"/>
    </row>
    <row r="907">
      <c r="A907" s="93"/>
      <c r="F907" s="94"/>
      <c r="H907" s="95"/>
      <c r="O907" s="95"/>
    </row>
    <row r="908">
      <c r="A908" s="93"/>
      <c r="F908" s="94"/>
      <c r="H908" s="95"/>
      <c r="O908" s="95"/>
    </row>
    <row r="909">
      <c r="A909" s="93"/>
      <c r="F909" s="94"/>
      <c r="H909" s="95"/>
      <c r="O909" s="95"/>
    </row>
    <row r="910">
      <c r="A910" s="93"/>
      <c r="F910" s="94"/>
      <c r="H910" s="95"/>
      <c r="O910" s="95"/>
    </row>
    <row r="911">
      <c r="A911" s="93"/>
      <c r="F911" s="94"/>
      <c r="H911" s="95"/>
      <c r="O911" s="95"/>
    </row>
    <row r="912">
      <c r="A912" s="93"/>
      <c r="F912" s="94"/>
      <c r="H912" s="95"/>
      <c r="O912" s="95"/>
    </row>
    <row r="913">
      <c r="A913" s="93"/>
      <c r="F913" s="94"/>
      <c r="H913" s="95"/>
      <c r="O913" s="95"/>
    </row>
    <row r="914">
      <c r="A914" s="93"/>
      <c r="F914" s="94"/>
      <c r="H914" s="95"/>
      <c r="O914" s="95"/>
    </row>
    <row r="915">
      <c r="A915" s="93"/>
      <c r="F915" s="94"/>
      <c r="H915" s="95"/>
      <c r="O915" s="95"/>
    </row>
    <row r="916">
      <c r="A916" s="93"/>
      <c r="F916" s="94"/>
      <c r="H916" s="95"/>
      <c r="O916" s="95"/>
    </row>
    <row r="917">
      <c r="A917" s="93"/>
      <c r="F917" s="94"/>
      <c r="H917" s="95"/>
      <c r="O917" s="95"/>
    </row>
    <row r="918">
      <c r="A918" s="93"/>
      <c r="F918" s="94"/>
      <c r="H918" s="95"/>
      <c r="O918" s="95"/>
    </row>
    <row r="919">
      <c r="A919" s="93"/>
      <c r="F919" s="94"/>
      <c r="H919" s="95"/>
      <c r="O919" s="95"/>
    </row>
    <row r="920">
      <c r="A920" s="93"/>
      <c r="F920" s="94"/>
      <c r="H920" s="95"/>
      <c r="O920" s="95"/>
    </row>
    <row r="921">
      <c r="A921" s="93"/>
      <c r="F921" s="94"/>
      <c r="H921" s="95"/>
      <c r="O921" s="95"/>
    </row>
    <row r="922">
      <c r="A922" s="93"/>
      <c r="F922" s="94"/>
      <c r="H922" s="95"/>
      <c r="O922" s="95"/>
    </row>
    <row r="923">
      <c r="A923" s="93"/>
      <c r="F923" s="94"/>
      <c r="H923" s="95"/>
      <c r="O923" s="95"/>
    </row>
    <row r="924">
      <c r="A924" s="93"/>
      <c r="F924" s="94"/>
      <c r="H924" s="95"/>
      <c r="O924" s="95"/>
    </row>
    <row r="925">
      <c r="A925" s="93"/>
      <c r="F925" s="94"/>
      <c r="H925" s="95"/>
      <c r="O925" s="95"/>
    </row>
    <row r="926">
      <c r="A926" s="93"/>
      <c r="F926" s="94"/>
      <c r="H926" s="95"/>
      <c r="O926" s="95"/>
    </row>
    <row r="927">
      <c r="A927" s="93"/>
      <c r="F927" s="94"/>
      <c r="H927" s="95"/>
      <c r="O927" s="95"/>
    </row>
    <row r="928">
      <c r="A928" s="93"/>
      <c r="F928" s="94"/>
      <c r="H928" s="95"/>
      <c r="O928" s="95"/>
    </row>
    <row r="929">
      <c r="A929" s="93"/>
      <c r="F929" s="94"/>
      <c r="H929" s="95"/>
      <c r="O929" s="95"/>
    </row>
    <row r="930">
      <c r="A930" s="93"/>
      <c r="F930" s="94"/>
      <c r="H930" s="95"/>
      <c r="O930" s="95"/>
    </row>
    <row r="931">
      <c r="A931" s="93"/>
      <c r="F931" s="94"/>
      <c r="H931" s="95"/>
      <c r="O931" s="95"/>
    </row>
    <row r="932">
      <c r="A932" s="93"/>
      <c r="F932" s="94"/>
      <c r="H932" s="95"/>
      <c r="O932" s="95"/>
    </row>
    <row r="933">
      <c r="A933" s="93"/>
      <c r="F933" s="94"/>
      <c r="H933" s="95"/>
      <c r="O933" s="95"/>
    </row>
    <row r="934">
      <c r="A934" s="93"/>
      <c r="F934" s="94"/>
      <c r="H934" s="95"/>
      <c r="O934" s="95"/>
    </row>
    <row r="935">
      <c r="A935" s="93"/>
      <c r="F935" s="94"/>
      <c r="H935" s="95"/>
      <c r="O935" s="95"/>
    </row>
    <row r="936">
      <c r="A936" s="93"/>
      <c r="F936" s="94"/>
      <c r="H936" s="95"/>
      <c r="O936" s="95"/>
    </row>
    <row r="937">
      <c r="A937" s="93"/>
      <c r="F937" s="94"/>
      <c r="H937" s="95"/>
      <c r="O937" s="95"/>
    </row>
    <row r="938">
      <c r="A938" s="93"/>
      <c r="F938" s="94"/>
      <c r="H938" s="95"/>
      <c r="O938" s="95"/>
    </row>
    <row r="939">
      <c r="A939" s="93"/>
      <c r="F939" s="94"/>
      <c r="H939" s="95"/>
      <c r="O939" s="95"/>
    </row>
    <row r="940">
      <c r="A940" s="93"/>
      <c r="F940" s="94"/>
      <c r="H940" s="95"/>
      <c r="O940" s="95"/>
    </row>
    <row r="941">
      <c r="A941" s="93"/>
      <c r="F941" s="94"/>
      <c r="H941" s="95"/>
      <c r="O941" s="95"/>
    </row>
    <row r="942">
      <c r="A942" s="93"/>
      <c r="F942" s="94"/>
      <c r="H942" s="95"/>
      <c r="O942" s="95"/>
    </row>
    <row r="943">
      <c r="A943" s="93"/>
      <c r="F943" s="94"/>
      <c r="H943" s="95"/>
      <c r="O943" s="95"/>
    </row>
    <row r="944">
      <c r="A944" s="93"/>
      <c r="F944" s="94"/>
      <c r="H944" s="95"/>
      <c r="O944" s="95"/>
    </row>
    <row r="945">
      <c r="A945" s="93"/>
      <c r="F945" s="94"/>
      <c r="H945" s="95"/>
      <c r="O945" s="95"/>
    </row>
    <row r="946">
      <c r="A946" s="93"/>
      <c r="F946" s="94"/>
      <c r="H946" s="95"/>
      <c r="O946" s="95"/>
    </row>
    <row r="947">
      <c r="A947" s="93"/>
      <c r="F947" s="94"/>
      <c r="H947" s="95"/>
      <c r="O947" s="95"/>
    </row>
    <row r="948">
      <c r="A948" s="93"/>
      <c r="F948" s="94"/>
      <c r="H948" s="95"/>
      <c r="O948" s="95"/>
    </row>
    <row r="949">
      <c r="A949" s="93"/>
      <c r="F949" s="94"/>
      <c r="H949" s="95"/>
      <c r="O949" s="95"/>
    </row>
    <row r="950">
      <c r="A950" s="93"/>
      <c r="F950" s="94"/>
      <c r="H950" s="95"/>
      <c r="O950" s="95"/>
    </row>
    <row r="951">
      <c r="A951" s="93"/>
      <c r="F951" s="94"/>
      <c r="H951" s="95"/>
      <c r="O951" s="95"/>
    </row>
    <row r="952">
      <c r="A952" s="93"/>
      <c r="F952" s="94"/>
      <c r="H952" s="95"/>
      <c r="O952" s="95"/>
    </row>
    <row r="953">
      <c r="A953" s="93"/>
      <c r="F953" s="94"/>
      <c r="H953" s="95"/>
      <c r="O953" s="95"/>
    </row>
    <row r="954">
      <c r="A954" s="93"/>
      <c r="F954" s="94"/>
      <c r="H954" s="95"/>
      <c r="O954" s="95"/>
    </row>
    <row r="955">
      <c r="A955" s="93"/>
      <c r="F955" s="94"/>
      <c r="H955" s="95"/>
      <c r="O955" s="95"/>
    </row>
    <row r="956">
      <c r="A956" s="93"/>
      <c r="F956" s="94"/>
      <c r="H956" s="95"/>
      <c r="O956" s="95"/>
    </row>
    <row r="957">
      <c r="A957" s="93"/>
      <c r="F957" s="94"/>
      <c r="H957" s="95"/>
      <c r="O957" s="95"/>
    </row>
    <row r="958">
      <c r="A958" s="93"/>
      <c r="F958" s="94"/>
      <c r="H958" s="95"/>
      <c r="O958" s="95"/>
    </row>
    <row r="959">
      <c r="A959" s="93"/>
      <c r="F959" s="94"/>
      <c r="H959" s="95"/>
      <c r="O959" s="95"/>
    </row>
    <row r="960">
      <c r="A960" s="93"/>
      <c r="F960" s="94"/>
      <c r="H960" s="95"/>
      <c r="O960" s="95"/>
    </row>
    <row r="961">
      <c r="A961" s="93"/>
      <c r="F961" s="94"/>
      <c r="H961" s="95"/>
      <c r="O961" s="95"/>
    </row>
    <row r="962">
      <c r="A962" s="93"/>
      <c r="F962" s="94"/>
      <c r="H962" s="95"/>
      <c r="O962" s="95"/>
    </row>
    <row r="963">
      <c r="A963" s="93"/>
      <c r="F963" s="94"/>
      <c r="H963" s="95"/>
      <c r="O963" s="95"/>
    </row>
    <row r="964">
      <c r="A964" s="93"/>
      <c r="F964" s="94"/>
      <c r="H964" s="95"/>
      <c r="O964" s="95"/>
    </row>
    <row r="965">
      <c r="A965" s="93"/>
      <c r="F965" s="94"/>
      <c r="H965" s="95"/>
      <c r="O965" s="95"/>
    </row>
    <row r="966">
      <c r="A966" s="93"/>
      <c r="F966" s="94"/>
      <c r="H966" s="95"/>
      <c r="O966" s="95"/>
    </row>
    <row r="967">
      <c r="A967" s="93"/>
      <c r="F967" s="94"/>
      <c r="H967" s="95"/>
      <c r="O967" s="95"/>
    </row>
    <row r="968">
      <c r="A968" s="93"/>
      <c r="F968" s="94"/>
      <c r="H968" s="95"/>
      <c r="O968" s="95"/>
    </row>
    <row r="969">
      <c r="A969" s="93"/>
      <c r="F969" s="94"/>
      <c r="H969" s="95"/>
      <c r="O969" s="95"/>
    </row>
    <row r="970">
      <c r="A970" s="93"/>
      <c r="F970" s="94"/>
      <c r="H970" s="95"/>
      <c r="O970" s="95"/>
    </row>
    <row r="971">
      <c r="A971" s="93"/>
      <c r="F971" s="94"/>
      <c r="H971" s="95"/>
      <c r="O971" s="95"/>
    </row>
    <row r="972">
      <c r="A972" s="93"/>
      <c r="F972" s="94"/>
      <c r="H972" s="95"/>
      <c r="O972" s="95"/>
    </row>
    <row r="973">
      <c r="A973" s="93"/>
      <c r="F973" s="94"/>
      <c r="H973" s="95"/>
      <c r="O973" s="95"/>
    </row>
    <row r="974">
      <c r="A974" s="93"/>
      <c r="F974" s="94"/>
      <c r="H974" s="95"/>
      <c r="O974" s="95"/>
    </row>
    <row r="975">
      <c r="A975" s="93"/>
      <c r="F975" s="94"/>
      <c r="H975" s="95"/>
      <c r="O975" s="95"/>
    </row>
    <row r="976">
      <c r="A976" s="93"/>
      <c r="F976" s="94"/>
      <c r="H976" s="95"/>
      <c r="O976" s="95"/>
    </row>
    <row r="977">
      <c r="A977" s="93"/>
      <c r="F977" s="94"/>
      <c r="H977" s="95"/>
      <c r="O977" s="95"/>
    </row>
    <row r="978">
      <c r="A978" s="93"/>
      <c r="F978" s="94"/>
      <c r="H978" s="95"/>
      <c r="O978" s="95"/>
    </row>
    <row r="979">
      <c r="A979" s="93"/>
      <c r="F979" s="94"/>
      <c r="H979" s="95"/>
      <c r="O979" s="95"/>
    </row>
    <row r="980">
      <c r="A980" s="93"/>
      <c r="F980" s="94"/>
      <c r="H980" s="95"/>
      <c r="O980" s="95"/>
    </row>
    <row r="981">
      <c r="A981" s="93"/>
      <c r="F981" s="94"/>
      <c r="H981" s="95"/>
      <c r="O981" s="95"/>
    </row>
    <row r="982">
      <c r="A982" s="93"/>
      <c r="F982" s="94"/>
      <c r="H982" s="95"/>
      <c r="O982" s="95"/>
    </row>
    <row r="983">
      <c r="A983" s="93"/>
      <c r="F983" s="94"/>
      <c r="H983" s="95"/>
      <c r="O983" s="95"/>
    </row>
    <row r="984">
      <c r="A984" s="93"/>
      <c r="F984" s="94"/>
      <c r="H984" s="95"/>
      <c r="O984" s="95"/>
    </row>
    <row r="985">
      <c r="A985" s="93"/>
      <c r="F985" s="94"/>
      <c r="H985" s="95"/>
      <c r="O985" s="95"/>
    </row>
    <row r="986">
      <c r="A986" s="93"/>
      <c r="F986" s="94"/>
      <c r="H986" s="95"/>
      <c r="O986" s="95"/>
    </row>
    <row r="987">
      <c r="A987" s="93"/>
      <c r="F987" s="94"/>
      <c r="H987" s="95"/>
      <c r="O987" s="95"/>
    </row>
    <row r="988">
      <c r="A988" s="93"/>
      <c r="F988" s="94"/>
      <c r="H988" s="95"/>
      <c r="O988" s="95"/>
    </row>
    <row r="989">
      <c r="A989" s="93"/>
      <c r="F989" s="94"/>
      <c r="H989" s="95"/>
      <c r="O989" s="95"/>
    </row>
    <row r="990">
      <c r="A990" s="93"/>
      <c r="F990" s="94"/>
      <c r="H990" s="95"/>
      <c r="O990" s="95"/>
    </row>
    <row r="991">
      <c r="A991" s="93"/>
      <c r="F991" s="94"/>
      <c r="H991" s="95"/>
      <c r="O991" s="95"/>
    </row>
  </sheetData>
  <dataValidations>
    <dataValidation type="list" allowBlank="1" showErrorMessage="1" sqref="E14:E94">
      <formula1>"Вторичка,Аренда"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/>
      <c r="B1" s="97"/>
      <c r="C1" s="98"/>
      <c r="D1" s="99"/>
      <c r="E1" s="100" t="s">
        <v>252</v>
      </c>
      <c r="F1" s="100"/>
      <c r="G1" s="101"/>
      <c r="H1" s="102"/>
      <c r="I1" s="103"/>
      <c r="J1" s="104"/>
      <c r="K1" s="104"/>
      <c r="L1" s="39"/>
      <c r="M1" s="39"/>
      <c r="N1" s="39"/>
      <c r="O1" s="105"/>
    </row>
    <row r="2">
      <c r="A2" s="106">
        <v>45721.0</v>
      </c>
      <c r="B2" s="41" t="s">
        <v>56</v>
      </c>
      <c r="C2" s="42" t="s">
        <v>18</v>
      </c>
      <c r="D2" s="60" t="s">
        <v>22</v>
      </c>
      <c r="E2" s="107" t="s">
        <v>57</v>
      </c>
      <c r="F2" s="61">
        <v>6450000.0</v>
      </c>
      <c r="G2" s="108">
        <v>2.0</v>
      </c>
      <c r="H2" s="109">
        <v>129000.0</v>
      </c>
      <c r="I2" s="59" t="s">
        <v>28</v>
      </c>
      <c r="J2" s="110">
        <v>6450.0</v>
      </c>
      <c r="K2" s="110">
        <f>H2*0.5</f>
        <v>64500</v>
      </c>
      <c r="L2" s="64"/>
      <c r="M2" s="64"/>
      <c r="N2" s="64"/>
      <c r="O2" s="65">
        <f t="shared" ref="O2:O5" si="1">H2-K2-L2</f>
        <v>64500</v>
      </c>
    </row>
    <row r="3">
      <c r="A3" s="106">
        <v>45730.0</v>
      </c>
      <c r="B3" s="41" t="s">
        <v>58</v>
      </c>
      <c r="C3" s="46" t="s">
        <v>41</v>
      </c>
      <c r="D3" s="111" t="s">
        <v>59</v>
      </c>
      <c r="E3" s="112" t="s">
        <v>57</v>
      </c>
      <c r="F3" s="113">
        <v>1130000.0</v>
      </c>
      <c r="G3" s="114">
        <v>2.0</v>
      </c>
      <c r="H3" s="115">
        <v>21800.0</v>
      </c>
      <c r="I3" s="116" t="s">
        <v>28</v>
      </c>
      <c r="J3" s="117">
        <v>1090.0</v>
      </c>
      <c r="K3" s="117">
        <f t="shared" ref="K3:K4" si="2">H3*0.8</f>
        <v>17440</v>
      </c>
      <c r="L3" s="118">
        <f>H3*0.05</f>
        <v>1090</v>
      </c>
      <c r="M3" s="118"/>
      <c r="N3" s="118"/>
      <c r="O3" s="119">
        <f t="shared" si="1"/>
        <v>3270</v>
      </c>
    </row>
    <row r="4">
      <c r="A4" s="120">
        <v>45732.0</v>
      </c>
      <c r="B4" s="41" t="s">
        <v>61</v>
      </c>
      <c r="C4" s="46" t="s">
        <v>62</v>
      </c>
      <c r="D4" s="59" t="s">
        <v>63</v>
      </c>
      <c r="E4" s="107" t="s">
        <v>57</v>
      </c>
      <c r="F4" s="61">
        <v>1850000.0</v>
      </c>
      <c r="G4" s="108">
        <v>2.0</v>
      </c>
      <c r="H4" s="109">
        <v>37000.0</v>
      </c>
      <c r="I4" s="121" t="s">
        <v>64</v>
      </c>
      <c r="J4" s="110">
        <v>1850.0</v>
      </c>
      <c r="K4" s="110">
        <f t="shared" si="2"/>
        <v>29600</v>
      </c>
      <c r="L4" s="64">
        <f>H4*0.01</f>
        <v>370</v>
      </c>
      <c r="M4" s="64">
        <f t="shared" ref="M4:M5" si="3">H4*0.05</f>
        <v>1850</v>
      </c>
      <c r="N4" s="64"/>
      <c r="O4" s="65">
        <f t="shared" si="1"/>
        <v>7030</v>
      </c>
    </row>
    <row r="5">
      <c r="A5" s="120">
        <v>45737.0</v>
      </c>
      <c r="B5" s="41" t="s">
        <v>65</v>
      </c>
      <c r="C5" s="46" t="s">
        <v>66</v>
      </c>
      <c r="D5" s="111" t="s">
        <v>59</v>
      </c>
      <c r="E5" s="112" t="s">
        <v>57</v>
      </c>
      <c r="F5" s="113">
        <v>1080000.0</v>
      </c>
      <c r="G5" s="122">
        <v>2.0</v>
      </c>
      <c r="H5" s="115">
        <v>41600.0</v>
      </c>
      <c r="I5" s="116" t="s">
        <v>28</v>
      </c>
      <c r="J5" s="117">
        <v>1080.0</v>
      </c>
      <c r="K5" s="116">
        <v>33280.0</v>
      </c>
      <c r="L5" s="118"/>
      <c r="M5" s="118">
        <f t="shared" si="3"/>
        <v>2080</v>
      </c>
      <c r="N5" s="118"/>
      <c r="O5" s="119">
        <f t="shared" si="1"/>
        <v>8320</v>
      </c>
    </row>
    <row r="6">
      <c r="A6" s="123">
        <v>45749.0</v>
      </c>
      <c r="B6" s="50" t="s">
        <v>68</v>
      </c>
      <c r="C6" s="51" t="s">
        <v>69</v>
      </c>
      <c r="D6" s="43" t="s">
        <v>59</v>
      </c>
      <c r="E6" s="48" t="s">
        <v>70</v>
      </c>
      <c r="F6" s="52">
        <v>56000.0</v>
      </c>
      <c r="G6" s="48">
        <v>5.0</v>
      </c>
      <c r="H6" s="53">
        <v>2800.0</v>
      </c>
      <c r="I6" s="21" t="s">
        <v>28</v>
      </c>
      <c r="J6" s="48" t="s">
        <v>22</v>
      </c>
      <c r="K6" s="48">
        <v>2240.0</v>
      </c>
      <c r="L6" s="54"/>
      <c r="M6" s="54"/>
      <c r="N6" s="54"/>
      <c r="O6" s="55">
        <v>560.0</v>
      </c>
    </row>
    <row r="7">
      <c r="A7" s="123">
        <v>45767.0</v>
      </c>
      <c r="B7" s="50" t="s">
        <v>71</v>
      </c>
      <c r="C7" s="51" t="s">
        <v>41</v>
      </c>
      <c r="D7" s="43" t="s">
        <v>59</v>
      </c>
      <c r="E7" s="48" t="s">
        <v>57</v>
      </c>
      <c r="F7" s="52">
        <v>2000000.0</v>
      </c>
      <c r="G7" s="48">
        <v>1.0</v>
      </c>
      <c r="H7" s="57">
        <v>20000.0</v>
      </c>
      <c r="I7" s="48" t="s">
        <v>64</v>
      </c>
      <c r="J7" s="48">
        <v>1000.0</v>
      </c>
      <c r="K7" s="48">
        <v>16000.0</v>
      </c>
      <c r="L7" s="54"/>
      <c r="M7" s="31">
        <f t="shared" ref="M7:M15" si="4">H7*0.05</f>
        <v>1000</v>
      </c>
      <c r="N7" s="54"/>
      <c r="O7" s="37">
        <f t="shared" ref="O7:O15" si="5">H7-K7-L7</f>
        <v>4000</v>
      </c>
    </row>
    <row r="8">
      <c r="A8" s="123">
        <v>45769.0</v>
      </c>
      <c r="B8" s="50" t="s">
        <v>73</v>
      </c>
      <c r="C8" s="51" t="s">
        <v>41</v>
      </c>
      <c r="D8" s="43" t="s">
        <v>59</v>
      </c>
      <c r="E8" s="48" t="s">
        <v>57</v>
      </c>
      <c r="F8" s="52">
        <v>1450000.0</v>
      </c>
      <c r="G8" s="48">
        <v>2.0</v>
      </c>
      <c r="H8" s="53">
        <v>29000.0</v>
      </c>
      <c r="I8" s="21" t="s">
        <v>28</v>
      </c>
      <c r="J8" s="48">
        <v>1450.0</v>
      </c>
      <c r="K8" s="48">
        <v>23200.0</v>
      </c>
      <c r="L8" s="54"/>
      <c r="M8" s="31">
        <f t="shared" si="4"/>
        <v>1450</v>
      </c>
      <c r="N8" s="54"/>
      <c r="O8" s="37">
        <f t="shared" si="5"/>
        <v>5800</v>
      </c>
    </row>
    <row r="9">
      <c r="A9" s="123">
        <v>45770.0</v>
      </c>
      <c r="B9" s="50" t="s">
        <v>75</v>
      </c>
      <c r="C9" s="51" t="s">
        <v>41</v>
      </c>
      <c r="D9" s="43" t="s">
        <v>59</v>
      </c>
      <c r="E9" s="48" t="s">
        <v>57</v>
      </c>
      <c r="F9" s="52">
        <v>6827000.0</v>
      </c>
      <c r="G9" s="58" t="s">
        <v>22</v>
      </c>
      <c r="H9" s="53">
        <v>77837.0</v>
      </c>
      <c r="I9" s="59" t="s">
        <v>64</v>
      </c>
      <c r="J9" s="58">
        <v>3891.85</v>
      </c>
      <c r="K9" s="48">
        <v>62269.0</v>
      </c>
      <c r="L9" s="54"/>
      <c r="M9" s="31">
        <f t="shared" si="4"/>
        <v>3891.85</v>
      </c>
      <c r="N9" s="54"/>
      <c r="O9" s="37">
        <f t="shared" si="5"/>
        <v>15568</v>
      </c>
    </row>
    <row r="10">
      <c r="A10" s="123">
        <v>45771.0</v>
      </c>
      <c r="B10" s="50" t="s">
        <v>73</v>
      </c>
      <c r="C10" s="51" t="s">
        <v>41</v>
      </c>
      <c r="D10" s="43" t="s">
        <v>59</v>
      </c>
      <c r="E10" s="48" t="s">
        <v>57</v>
      </c>
      <c r="F10" s="52">
        <v>1570000.0</v>
      </c>
      <c r="G10" s="48">
        <v>2.0</v>
      </c>
      <c r="H10" s="53">
        <v>31400.0</v>
      </c>
      <c r="I10" s="48" t="s">
        <v>28</v>
      </c>
      <c r="J10" s="48">
        <v>1570.0</v>
      </c>
      <c r="K10" s="48">
        <v>25120.0</v>
      </c>
      <c r="L10" s="54"/>
      <c r="M10" s="31">
        <f t="shared" si="4"/>
        <v>1570</v>
      </c>
      <c r="N10" s="54"/>
      <c r="O10" s="37">
        <f t="shared" si="5"/>
        <v>6280</v>
      </c>
    </row>
    <row r="11">
      <c r="A11" s="123">
        <v>45772.0</v>
      </c>
      <c r="B11" s="50" t="s">
        <v>78</v>
      </c>
      <c r="C11" s="51" t="s">
        <v>79</v>
      </c>
      <c r="D11" s="43" t="s">
        <v>59</v>
      </c>
      <c r="E11" s="48" t="s">
        <v>57</v>
      </c>
      <c r="F11" s="52">
        <v>655000.0</v>
      </c>
      <c r="G11" s="48">
        <v>2.0</v>
      </c>
      <c r="H11" s="53">
        <v>13100.0</v>
      </c>
      <c r="I11" s="48" t="s">
        <v>28</v>
      </c>
      <c r="J11" s="48">
        <v>655.0</v>
      </c>
      <c r="K11" s="48">
        <f t="shared" ref="K11:K12" si="6">H11*0.8</f>
        <v>10480</v>
      </c>
      <c r="L11" s="54"/>
      <c r="M11" s="31">
        <f t="shared" si="4"/>
        <v>655</v>
      </c>
      <c r="N11" s="54"/>
      <c r="O11" s="37">
        <f t="shared" si="5"/>
        <v>2620</v>
      </c>
    </row>
    <row r="12">
      <c r="A12" s="123">
        <v>45772.0</v>
      </c>
      <c r="B12" s="50" t="s">
        <v>81</v>
      </c>
      <c r="C12" s="51" t="s">
        <v>30</v>
      </c>
      <c r="D12" s="43" t="s">
        <v>59</v>
      </c>
      <c r="E12" s="48" t="s">
        <v>57</v>
      </c>
      <c r="F12" s="52">
        <v>1035000.0</v>
      </c>
      <c r="G12" s="48">
        <v>2.0</v>
      </c>
      <c r="H12" s="53">
        <v>20700.0</v>
      </c>
      <c r="I12" s="21" t="s">
        <v>28</v>
      </c>
      <c r="J12" s="48">
        <v>1035.0</v>
      </c>
      <c r="K12" s="48">
        <f t="shared" si="6"/>
        <v>16560</v>
      </c>
      <c r="L12" s="54"/>
      <c r="M12" s="31">
        <f t="shared" si="4"/>
        <v>1035</v>
      </c>
      <c r="N12" s="54"/>
      <c r="O12" s="37">
        <f t="shared" si="5"/>
        <v>4140</v>
      </c>
    </row>
    <row r="13">
      <c r="A13" s="123">
        <v>45773.0</v>
      </c>
      <c r="B13" s="50" t="s">
        <v>82</v>
      </c>
      <c r="C13" s="51" t="s">
        <v>41</v>
      </c>
      <c r="D13" s="60" t="s">
        <v>59</v>
      </c>
      <c r="E13" s="48" t="s">
        <v>57</v>
      </c>
      <c r="F13" s="61">
        <v>1490000.0</v>
      </c>
      <c r="G13" s="59">
        <v>2.0</v>
      </c>
      <c r="H13" s="62">
        <v>29800.0</v>
      </c>
      <c r="I13" s="59" t="s">
        <v>64</v>
      </c>
      <c r="J13" s="59">
        <v>1490.0</v>
      </c>
      <c r="K13" s="59">
        <v>23840.0</v>
      </c>
      <c r="L13" s="63"/>
      <c r="M13" s="64">
        <f t="shared" si="4"/>
        <v>1490</v>
      </c>
      <c r="N13" s="63"/>
      <c r="O13" s="65">
        <f t="shared" si="5"/>
        <v>5960</v>
      </c>
    </row>
    <row r="14">
      <c r="A14" s="123">
        <v>45776.0</v>
      </c>
      <c r="B14" s="50" t="s">
        <v>84</v>
      </c>
      <c r="C14" s="51" t="s">
        <v>30</v>
      </c>
      <c r="D14" s="43" t="s">
        <v>59</v>
      </c>
      <c r="E14" s="48" t="s">
        <v>57</v>
      </c>
      <c r="F14" s="52">
        <v>3080000.0</v>
      </c>
      <c r="G14" s="48">
        <v>2.0</v>
      </c>
      <c r="H14" s="53">
        <v>61600.0</v>
      </c>
      <c r="I14" s="59" t="s">
        <v>85</v>
      </c>
      <c r="J14" s="48">
        <v>3080.0</v>
      </c>
      <c r="K14" s="48">
        <f t="shared" ref="K14:K15" si="7">H14*0.8</f>
        <v>49280</v>
      </c>
      <c r="L14" s="54"/>
      <c r="M14" s="31">
        <f t="shared" si="4"/>
        <v>3080</v>
      </c>
      <c r="N14" s="54"/>
      <c r="O14" s="37">
        <f t="shared" si="5"/>
        <v>12320</v>
      </c>
    </row>
    <row r="15">
      <c r="A15" s="123">
        <v>45776.0</v>
      </c>
      <c r="B15" s="50" t="s">
        <v>87</v>
      </c>
      <c r="C15" s="51" t="s">
        <v>30</v>
      </c>
      <c r="D15" s="43" t="s">
        <v>59</v>
      </c>
      <c r="E15" s="48" t="s">
        <v>57</v>
      </c>
      <c r="F15" s="52">
        <v>955000.0</v>
      </c>
      <c r="G15" s="48">
        <v>4.0</v>
      </c>
      <c r="H15" s="53">
        <v>38200.0</v>
      </c>
      <c r="I15" s="59" t="s">
        <v>64</v>
      </c>
      <c r="J15" s="48">
        <v>1910.0</v>
      </c>
      <c r="K15" s="48">
        <f t="shared" si="7"/>
        <v>30560</v>
      </c>
      <c r="L15" s="54"/>
      <c r="M15" s="31">
        <f t="shared" si="4"/>
        <v>1910</v>
      </c>
      <c r="N15" s="54"/>
      <c r="O15" s="37">
        <f t="shared" si="5"/>
        <v>7640</v>
      </c>
    </row>
    <row r="16">
      <c r="A16" s="123">
        <v>45780.0</v>
      </c>
      <c r="B16" s="67" t="s">
        <v>89</v>
      </c>
      <c r="C16" s="51" t="s">
        <v>90</v>
      </c>
      <c r="D16" s="43" t="s">
        <v>59</v>
      </c>
      <c r="E16" s="48" t="s">
        <v>57</v>
      </c>
      <c r="F16" s="52">
        <v>2200000.0</v>
      </c>
      <c r="G16" s="48">
        <v>2.0</v>
      </c>
      <c r="H16" s="53">
        <v>44000.0</v>
      </c>
      <c r="I16" s="36" t="s">
        <v>64</v>
      </c>
      <c r="J16" s="48">
        <v>2200.0</v>
      </c>
      <c r="K16" s="48">
        <v>35200.0</v>
      </c>
      <c r="L16" s="54"/>
      <c r="M16" s="48">
        <v>2200.0</v>
      </c>
      <c r="N16" s="54"/>
      <c r="O16" s="55">
        <v>8800.0</v>
      </c>
    </row>
    <row r="17">
      <c r="A17" s="123">
        <v>45799.0</v>
      </c>
      <c r="B17" s="50" t="s">
        <v>92</v>
      </c>
      <c r="C17" s="51" t="s">
        <v>69</v>
      </c>
      <c r="D17" s="43" t="s">
        <v>59</v>
      </c>
      <c r="E17" s="48" t="s">
        <v>57</v>
      </c>
      <c r="F17" s="52">
        <v>1600000.0</v>
      </c>
      <c r="G17" s="48">
        <v>2.0</v>
      </c>
      <c r="H17" s="53">
        <v>32000.0</v>
      </c>
      <c r="I17" s="48" t="s">
        <v>28</v>
      </c>
      <c r="J17" s="48">
        <v>1600.0</v>
      </c>
      <c r="K17" s="48">
        <v>25600.0</v>
      </c>
      <c r="L17" s="54"/>
      <c r="M17" s="48">
        <v>1600.0</v>
      </c>
      <c r="N17" s="54"/>
      <c r="O17" s="55">
        <v>6400.0</v>
      </c>
    </row>
    <row r="18">
      <c r="A18" s="123">
        <v>45802.0</v>
      </c>
      <c r="B18" s="68" t="s">
        <v>94</v>
      </c>
      <c r="C18" s="51" t="s">
        <v>69</v>
      </c>
      <c r="D18" s="43" t="s">
        <v>59</v>
      </c>
      <c r="E18" s="48" t="s">
        <v>57</v>
      </c>
      <c r="F18" s="52">
        <v>1360000.0</v>
      </c>
      <c r="G18" s="48">
        <v>2.0</v>
      </c>
      <c r="H18" s="53">
        <v>33100.0</v>
      </c>
      <c r="I18" s="48" t="s">
        <v>28</v>
      </c>
      <c r="J18" s="48">
        <v>1360.0</v>
      </c>
      <c r="K18" s="48">
        <v>16550.0</v>
      </c>
      <c r="L18" s="54"/>
      <c r="M18" s="48">
        <v>1655.0</v>
      </c>
      <c r="N18" s="54"/>
      <c r="O18" s="55">
        <v>17910.0</v>
      </c>
    </row>
    <row r="19">
      <c r="A19" s="124">
        <v>45817.0</v>
      </c>
      <c r="B19" s="50" t="s">
        <v>96</v>
      </c>
      <c r="C19" s="51" t="s">
        <v>41</v>
      </c>
      <c r="D19" s="43" t="s">
        <v>59</v>
      </c>
      <c r="E19" s="48" t="s">
        <v>57</v>
      </c>
      <c r="F19" s="52">
        <v>2400000.0</v>
      </c>
      <c r="G19" s="48">
        <v>2.0</v>
      </c>
      <c r="H19" s="57">
        <v>48000.0</v>
      </c>
      <c r="I19" s="59" t="s">
        <v>64</v>
      </c>
      <c r="J19" s="48">
        <v>2600.0</v>
      </c>
      <c r="K19" s="48">
        <f>H19*0.8</f>
        <v>38400</v>
      </c>
      <c r="L19" s="54"/>
      <c r="M19" s="48">
        <v>2400.0</v>
      </c>
      <c r="N19" s="54"/>
      <c r="O19" s="55">
        <f>H19-K19-M19</f>
        <v>7200</v>
      </c>
    </row>
    <row r="20">
      <c r="A20" s="125">
        <v>45825.0</v>
      </c>
      <c r="B20" s="50" t="s">
        <v>98</v>
      </c>
      <c r="C20" s="42" t="s">
        <v>18</v>
      </c>
      <c r="D20" s="54"/>
      <c r="E20" s="48" t="s">
        <v>57</v>
      </c>
      <c r="F20" s="52">
        <v>7200000.0</v>
      </c>
      <c r="G20" s="48">
        <v>2.0</v>
      </c>
      <c r="H20" s="57">
        <v>48000.0</v>
      </c>
      <c r="I20" s="48" t="s">
        <v>28</v>
      </c>
      <c r="J20" s="54"/>
      <c r="K20" s="54"/>
      <c r="L20" s="54"/>
      <c r="M20" s="54"/>
      <c r="N20" s="54"/>
      <c r="O20" s="69"/>
    </row>
    <row r="21">
      <c r="A21" s="123">
        <v>45832.0</v>
      </c>
      <c r="B21" s="70" t="s">
        <v>100</v>
      </c>
      <c r="C21" s="71" t="s">
        <v>101</v>
      </c>
      <c r="D21" s="43" t="s">
        <v>59</v>
      </c>
      <c r="E21" s="48" t="s">
        <v>57</v>
      </c>
      <c r="F21" s="72">
        <v>1110000.0</v>
      </c>
      <c r="G21" s="48">
        <v>2.0</v>
      </c>
      <c r="H21" s="53">
        <v>22200.0</v>
      </c>
      <c r="I21" s="48" t="s">
        <v>28</v>
      </c>
      <c r="J21" s="48">
        <v>1110.0</v>
      </c>
      <c r="K21" s="48">
        <v>17760.0</v>
      </c>
      <c r="L21" s="54"/>
      <c r="M21" s="48">
        <v>1110.0</v>
      </c>
      <c r="N21" s="54"/>
      <c r="O21" s="55">
        <v>4440.0</v>
      </c>
    </row>
    <row r="22">
      <c r="A22" s="123">
        <v>45832.0</v>
      </c>
      <c r="B22" s="50" t="s">
        <v>102</v>
      </c>
      <c r="C22" s="51" t="s">
        <v>30</v>
      </c>
      <c r="D22" s="43" t="s">
        <v>59</v>
      </c>
      <c r="E22" s="48" t="s">
        <v>57</v>
      </c>
      <c r="F22" s="72">
        <v>625000.0</v>
      </c>
      <c r="G22" s="48">
        <v>2.0</v>
      </c>
      <c r="H22" s="53">
        <v>12500.0</v>
      </c>
      <c r="I22" s="48" t="s">
        <v>28</v>
      </c>
      <c r="J22" s="48">
        <v>625.0</v>
      </c>
      <c r="K22" s="48">
        <v>10000.0</v>
      </c>
      <c r="L22" s="54"/>
      <c r="M22" s="48">
        <v>625.0</v>
      </c>
      <c r="N22" s="54"/>
      <c r="O22" s="55">
        <v>3125.0</v>
      </c>
    </row>
    <row r="23">
      <c r="A23" s="123">
        <v>45839.0</v>
      </c>
      <c r="B23" s="67" t="s">
        <v>103</v>
      </c>
      <c r="C23" s="50" t="s">
        <v>104</v>
      </c>
      <c r="D23" s="43" t="s">
        <v>59</v>
      </c>
      <c r="E23" s="48" t="s">
        <v>57</v>
      </c>
      <c r="F23" s="72">
        <v>650000.0</v>
      </c>
      <c r="G23" s="48">
        <v>2.0</v>
      </c>
      <c r="H23" s="53">
        <v>10000.0</v>
      </c>
      <c r="I23" s="48" t="s">
        <v>28</v>
      </c>
      <c r="J23" s="48">
        <v>500.0</v>
      </c>
      <c r="K23" s="48">
        <v>8000.0</v>
      </c>
      <c r="L23" s="54"/>
      <c r="M23" s="48">
        <v>500.0</v>
      </c>
      <c r="N23" s="54"/>
      <c r="O23" s="55">
        <v>2500.0</v>
      </c>
    </row>
    <row r="24">
      <c r="A24" s="123">
        <v>45845.0</v>
      </c>
      <c r="B24" s="50" t="s">
        <v>106</v>
      </c>
      <c r="C24" s="50" t="s">
        <v>66</v>
      </c>
      <c r="D24" s="43" t="s">
        <v>59</v>
      </c>
      <c r="E24" s="48" t="s">
        <v>57</v>
      </c>
      <c r="F24" s="72">
        <v>2550000.0</v>
      </c>
      <c r="G24" s="73">
        <v>45779.0</v>
      </c>
      <c r="H24" s="53">
        <v>63750.0</v>
      </c>
      <c r="I24" s="48" t="s">
        <v>28</v>
      </c>
      <c r="J24" s="48">
        <v>3187.5</v>
      </c>
      <c r="K24" s="48">
        <v>51000.0</v>
      </c>
      <c r="L24" s="54"/>
      <c r="M24" s="48">
        <v>3187.5</v>
      </c>
      <c r="N24" s="54"/>
      <c r="O24" s="55">
        <v>12750.0</v>
      </c>
    </row>
    <row r="25">
      <c r="A25" s="123">
        <v>45854.0</v>
      </c>
      <c r="B25" s="50" t="s">
        <v>108</v>
      </c>
      <c r="C25" s="50" t="s">
        <v>109</v>
      </c>
      <c r="D25" s="43" t="s">
        <v>59</v>
      </c>
      <c r="E25" s="48" t="s">
        <v>57</v>
      </c>
      <c r="F25" s="72">
        <v>1550000.0</v>
      </c>
      <c r="G25" s="58" t="s">
        <v>110</v>
      </c>
      <c r="H25" s="53">
        <v>46000.0</v>
      </c>
      <c r="I25" s="74" t="s">
        <v>111</v>
      </c>
      <c r="J25" s="48">
        <v>1550.0</v>
      </c>
      <c r="K25" s="58" t="s">
        <v>112</v>
      </c>
      <c r="L25" s="54"/>
      <c r="M25" s="48">
        <v>2300.0</v>
      </c>
      <c r="N25" s="54"/>
      <c r="O25" s="55">
        <v>9200.0</v>
      </c>
    </row>
    <row r="26">
      <c r="A26" s="126">
        <v>45874.0</v>
      </c>
      <c r="B26" s="50" t="s">
        <v>114</v>
      </c>
      <c r="C26" s="50" t="s">
        <v>115</v>
      </c>
      <c r="D26" s="75" t="s">
        <v>116</v>
      </c>
      <c r="E26" s="48" t="s">
        <v>57</v>
      </c>
      <c r="F26" s="52">
        <v>755000.0</v>
      </c>
      <c r="G26" s="76">
        <v>0.02</v>
      </c>
      <c r="H26" s="57">
        <v>15000.0</v>
      </c>
      <c r="I26" s="59" t="s">
        <v>28</v>
      </c>
      <c r="J26" s="48">
        <v>755.0</v>
      </c>
      <c r="K26" s="58">
        <v>12000.0</v>
      </c>
      <c r="L26" s="48">
        <v>500.0</v>
      </c>
      <c r="M26" s="48">
        <v>755.0</v>
      </c>
      <c r="N26" s="54"/>
      <c r="O26" s="55">
        <v>3775.0</v>
      </c>
    </row>
    <row r="27">
      <c r="A27" s="123">
        <v>45877.0</v>
      </c>
      <c r="B27" s="50" t="s">
        <v>118</v>
      </c>
      <c r="C27" s="50" t="s">
        <v>104</v>
      </c>
      <c r="D27" s="60" t="s">
        <v>59</v>
      </c>
      <c r="E27" s="48" t="s">
        <v>70</v>
      </c>
      <c r="F27" s="72">
        <v>180000.0</v>
      </c>
      <c r="G27" s="76">
        <v>0.05</v>
      </c>
      <c r="H27" s="53">
        <v>9000.0</v>
      </c>
      <c r="I27" s="48" t="s">
        <v>28</v>
      </c>
      <c r="J27" s="54"/>
      <c r="K27" s="58">
        <v>4500.0</v>
      </c>
      <c r="L27" s="54"/>
      <c r="M27" s="48">
        <v>450.0</v>
      </c>
      <c r="N27" s="54"/>
      <c r="O27" s="55">
        <f>H27-K27-M27</f>
        <v>4050</v>
      </c>
    </row>
    <row r="28">
      <c r="A28" s="126">
        <v>45881.0</v>
      </c>
      <c r="B28" s="50" t="s">
        <v>120</v>
      </c>
      <c r="C28" s="50" t="s">
        <v>121</v>
      </c>
      <c r="D28" s="43" t="s">
        <v>59</v>
      </c>
      <c r="E28" s="48" t="s">
        <v>57</v>
      </c>
      <c r="F28" s="52">
        <v>3500000.0</v>
      </c>
      <c r="G28" s="76">
        <v>0.02</v>
      </c>
      <c r="H28" s="57">
        <v>70000.0</v>
      </c>
      <c r="I28" s="48" t="s">
        <v>24</v>
      </c>
      <c r="J28" s="48">
        <v>3333.0</v>
      </c>
      <c r="K28" s="58">
        <v>53332.0</v>
      </c>
      <c r="L28" s="54"/>
      <c r="M28" s="48">
        <v>3333.0</v>
      </c>
      <c r="N28" s="54"/>
      <c r="O28" s="55">
        <f>H28-J28-K28-M28</f>
        <v>10002</v>
      </c>
    </row>
    <row r="29">
      <c r="A29" s="126">
        <v>45881.0</v>
      </c>
      <c r="B29" s="50" t="s">
        <v>123</v>
      </c>
      <c r="C29" s="50" t="s">
        <v>124</v>
      </c>
      <c r="D29" s="43"/>
      <c r="E29" s="48" t="s">
        <v>57</v>
      </c>
      <c r="F29" s="52">
        <v>3500000.0</v>
      </c>
      <c r="G29" s="76">
        <v>0.02</v>
      </c>
      <c r="H29" s="57">
        <v>70000.0</v>
      </c>
      <c r="I29" s="48" t="s">
        <v>64</v>
      </c>
      <c r="J29" s="48">
        <v>3500.0</v>
      </c>
      <c r="K29" s="48">
        <v>56000.0</v>
      </c>
      <c r="L29" s="54"/>
      <c r="M29" s="48">
        <v>3500.0</v>
      </c>
      <c r="N29" s="54"/>
      <c r="O29" s="55">
        <v>14000.0</v>
      </c>
    </row>
    <row r="30">
      <c r="A30" s="127">
        <v>45883.0</v>
      </c>
      <c r="B30" s="88" t="s">
        <v>125</v>
      </c>
      <c r="C30" s="48" t="s">
        <v>126</v>
      </c>
      <c r="D30" s="43" t="s">
        <v>59</v>
      </c>
      <c r="E30" s="48" t="s">
        <v>57</v>
      </c>
      <c r="F30" s="52">
        <v>1850000.0</v>
      </c>
      <c r="G30" s="76">
        <v>0.01</v>
      </c>
      <c r="H30" s="57">
        <v>27750.0</v>
      </c>
      <c r="I30" s="54"/>
      <c r="J30" s="48">
        <v>925.0</v>
      </c>
      <c r="K30" s="54">
        <f t="shared" ref="K30:K31" si="8">H30*0.5</f>
        <v>13875</v>
      </c>
      <c r="L30" s="54"/>
      <c r="M30" s="54">
        <f t="shared" ref="M30:M31" si="9">H30*0.05</f>
        <v>1387.5</v>
      </c>
      <c r="N30" s="54"/>
      <c r="O30" s="78">
        <f t="shared" ref="O30:O32" si="10">H30-K30-M30</f>
        <v>12487.5</v>
      </c>
    </row>
    <row r="31">
      <c r="A31" s="126">
        <v>45884.0</v>
      </c>
      <c r="B31" s="79" t="s">
        <v>132</v>
      </c>
      <c r="C31" s="50" t="s">
        <v>133</v>
      </c>
      <c r="D31" s="43" t="s">
        <v>59</v>
      </c>
      <c r="E31" s="48" t="s">
        <v>57</v>
      </c>
      <c r="F31" s="52">
        <v>714000.0</v>
      </c>
      <c r="G31" s="58" t="s">
        <v>134</v>
      </c>
      <c r="H31" s="57">
        <v>14280.0</v>
      </c>
      <c r="I31" s="48" t="s">
        <v>64</v>
      </c>
      <c r="J31" s="48">
        <v>714.0</v>
      </c>
      <c r="K31" s="54">
        <f t="shared" si="8"/>
        <v>7140</v>
      </c>
      <c r="L31" s="54"/>
      <c r="M31" s="54">
        <f t="shared" si="9"/>
        <v>714</v>
      </c>
      <c r="N31" s="54"/>
      <c r="O31" s="78">
        <f t="shared" si="10"/>
        <v>6426</v>
      </c>
    </row>
    <row r="32">
      <c r="A32" s="126">
        <v>45901.0</v>
      </c>
      <c r="B32" s="50" t="s">
        <v>136</v>
      </c>
      <c r="C32" s="50" t="s">
        <v>79</v>
      </c>
      <c r="D32" s="43" t="s">
        <v>59</v>
      </c>
      <c r="E32" s="48" t="s">
        <v>57</v>
      </c>
      <c r="F32" s="52">
        <v>1800000.0</v>
      </c>
      <c r="G32" s="76">
        <v>0.02</v>
      </c>
      <c r="H32" s="53">
        <v>36000.0</v>
      </c>
      <c r="I32" s="48" t="s">
        <v>137</v>
      </c>
      <c r="J32" s="48">
        <v>1800.0</v>
      </c>
      <c r="K32" s="48">
        <v>18000.0</v>
      </c>
      <c r="L32" s="54"/>
      <c r="M32" s="48">
        <v>1800.0</v>
      </c>
      <c r="N32" s="54"/>
      <c r="O32" s="55">
        <f t="shared" si="10"/>
        <v>16200</v>
      </c>
    </row>
    <row r="33">
      <c r="A33" s="123">
        <v>45916.0</v>
      </c>
      <c r="B33" s="81" t="s">
        <v>139</v>
      </c>
      <c r="C33" s="51" t="s">
        <v>140</v>
      </c>
      <c r="D33" s="43" t="s">
        <v>59</v>
      </c>
      <c r="E33" s="48" t="s">
        <v>57</v>
      </c>
      <c r="F33" s="52">
        <v>1890000.0</v>
      </c>
      <c r="G33" s="58" t="s">
        <v>141</v>
      </c>
      <c r="H33" s="57">
        <v>30000.0</v>
      </c>
      <c r="I33" s="48" t="s">
        <v>28</v>
      </c>
      <c r="J33" s="48">
        <v>1500.0</v>
      </c>
      <c r="K33" s="58" t="s">
        <v>142</v>
      </c>
      <c r="L33" s="54"/>
      <c r="M33" s="48">
        <v>1500.0</v>
      </c>
      <c r="N33" s="54"/>
      <c r="O33" s="55">
        <v>6000.0</v>
      </c>
    </row>
    <row r="34">
      <c r="A34" s="126">
        <v>45919.0</v>
      </c>
      <c r="B34" s="50" t="s">
        <v>144</v>
      </c>
      <c r="C34" s="50" t="s">
        <v>145</v>
      </c>
      <c r="D34" s="43" t="s">
        <v>59</v>
      </c>
      <c r="E34" s="48" t="s">
        <v>57</v>
      </c>
      <c r="F34" s="52">
        <v>1050000.0</v>
      </c>
      <c r="G34" s="58" t="s">
        <v>146</v>
      </c>
      <c r="H34" s="53">
        <v>87465.0</v>
      </c>
      <c r="I34" s="48" t="s">
        <v>24</v>
      </c>
      <c r="J34" s="58" t="s">
        <v>147</v>
      </c>
      <c r="K34" s="48">
        <v>69972.0</v>
      </c>
      <c r="L34" s="54"/>
      <c r="M34" s="58" t="s">
        <v>147</v>
      </c>
      <c r="N34" s="54"/>
      <c r="O34" s="55">
        <v>17493.0</v>
      </c>
    </row>
    <row r="35">
      <c r="A35" s="126">
        <v>45922.0</v>
      </c>
      <c r="B35" s="50" t="s">
        <v>149</v>
      </c>
      <c r="C35" s="50" t="s">
        <v>101</v>
      </c>
      <c r="D35" s="43" t="s">
        <v>59</v>
      </c>
      <c r="E35" s="48" t="s">
        <v>70</v>
      </c>
      <c r="F35" s="52">
        <v>300000.0</v>
      </c>
      <c r="G35" s="58" t="s">
        <v>150</v>
      </c>
      <c r="H35" s="53">
        <v>7500.0</v>
      </c>
      <c r="I35" s="48" t="s">
        <v>28</v>
      </c>
      <c r="J35" s="58" t="s">
        <v>151</v>
      </c>
      <c r="K35" s="48">
        <v>3750.0</v>
      </c>
      <c r="L35" s="54"/>
      <c r="M35" s="54"/>
      <c r="N35" s="54"/>
      <c r="O35" s="55">
        <v>3750.0</v>
      </c>
    </row>
    <row r="36">
      <c r="A36" s="126">
        <v>45925.0</v>
      </c>
      <c r="B36" s="50" t="s">
        <v>153</v>
      </c>
      <c r="C36" s="50" t="s">
        <v>133</v>
      </c>
      <c r="D36" s="43" t="s">
        <v>59</v>
      </c>
      <c r="E36" s="48" t="s">
        <v>70</v>
      </c>
      <c r="F36" s="72">
        <v>130000.0</v>
      </c>
      <c r="G36" s="76">
        <v>0.05</v>
      </c>
      <c r="H36" s="53">
        <v>6500.0</v>
      </c>
      <c r="I36" s="48" t="s">
        <v>28</v>
      </c>
      <c r="J36" s="58" t="s">
        <v>151</v>
      </c>
      <c r="K36" s="48">
        <v>4420.0</v>
      </c>
      <c r="L36" s="54"/>
      <c r="M36" s="54"/>
      <c r="N36" s="54"/>
      <c r="O36" s="55">
        <v>2080.0</v>
      </c>
    </row>
    <row r="37">
      <c r="A37" s="126">
        <v>45932.0</v>
      </c>
      <c r="B37" s="50" t="s">
        <v>155</v>
      </c>
      <c r="C37" s="50" t="s">
        <v>79</v>
      </c>
      <c r="D37" s="43" t="s">
        <v>59</v>
      </c>
      <c r="E37" s="48" t="s">
        <v>70</v>
      </c>
      <c r="F37" s="52">
        <v>155000.0</v>
      </c>
      <c r="G37" s="58" t="s">
        <v>150</v>
      </c>
      <c r="H37" s="53">
        <v>3875.0</v>
      </c>
      <c r="I37" s="48" t="s">
        <v>28</v>
      </c>
      <c r="J37" s="48">
        <v>387.5</v>
      </c>
      <c r="K37" s="48">
        <v>1937.5</v>
      </c>
      <c r="L37" s="54"/>
      <c r="M37" s="48">
        <v>193.75</v>
      </c>
      <c r="N37" s="54"/>
      <c r="O37" s="55">
        <v>1743.5</v>
      </c>
    </row>
    <row r="38">
      <c r="A38" s="123">
        <v>45938.0</v>
      </c>
      <c r="B38" s="50" t="s">
        <v>157</v>
      </c>
      <c r="C38" s="50" t="s">
        <v>104</v>
      </c>
      <c r="D38" s="43" t="s">
        <v>59</v>
      </c>
      <c r="E38" s="48" t="s">
        <v>70</v>
      </c>
      <c r="F38" s="52">
        <v>1120000.0</v>
      </c>
      <c r="G38" s="58" t="s">
        <v>150</v>
      </c>
      <c r="H38" s="57" t="s">
        <v>158</v>
      </c>
      <c r="I38" s="48" t="s">
        <v>28</v>
      </c>
      <c r="J38" s="58" t="s">
        <v>151</v>
      </c>
      <c r="K38" s="58" t="s">
        <v>159</v>
      </c>
      <c r="L38" s="54"/>
      <c r="M38" s="54"/>
      <c r="N38" s="54"/>
      <c r="O38" s="55">
        <v>14000.0</v>
      </c>
    </row>
    <row r="39">
      <c r="A39" s="128">
        <v>45940.0</v>
      </c>
      <c r="B39" s="79" t="s">
        <v>161</v>
      </c>
      <c r="C39" s="50" t="s">
        <v>104</v>
      </c>
      <c r="D39" s="43" t="s">
        <v>59</v>
      </c>
      <c r="E39" s="48" t="s">
        <v>57</v>
      </c>
      <c r="F39" s="72">
        <v>720000.0</v>
      </c>
      <c r="G39" s="48">
        <v>20000.0</v>
      </c>
      <c r="H39" s="53">
        <v>20000.0</v>
      </c>
      <c r="I39" s="54"/>
      <c r="J39" s="54"/>
      <c r="K39" s="54"/>
      <c r="L39" s="54"/>
      <c r="M39" s="54"/>
      <c r="N39" s="54"/>
      <c r="O39" s="78"/>
    </row>
    <row r="40">
      <c r="A40" s="128">
        <v>45941.0</v>
      </c>
      <c r="B40" s="50" t="s">
        <v>163</v>
      </c>
      <c r="C40" s="50" t="s">
        <v>164</v>
      </c>
      <c r="D40" s="43" t="s">
        <v>59</v>
      </c>
      <c r="E40" s="48" t="s">
        <v>57</v>
      </c>
      <c r="F40" s="52">
        <v>520000.0</v>
      </c>
      <c r="G40" s="76">
        <v>0.02</v>
      </c>
      <c r="H40" s="53">
        <v>10500.0</v>
      </c>
      <c r="I40" s="54"/>
      <c r="J40" s="48">
        <v>525.0</v>
      </c>
      <c r="K40" s="48">
        <v>5250.0</v>
      </c>
      <c r="L40" s="54"/>
      <c r="M40" s="54">
        <f t="shared" ref="M40:M41" si="11">H40*0.05</f>
        <v>525</v>
      </c>
      <c r="N40" s="54"/>
      <c r="O40" s="55">
        <f t="shared" ref="O40:O41" si="12">H40-K40-M40</f>
        <v>4725</v>
      </c>
    </row>
    <row r="41">
      <c r="A41" s="129">
        <v>45950.0</v>
      </c>
      <c r="B41" s="50" t="s">
        <v>167</v>
      </c>
      <c r="C41" s="50" t="s">
        <v>69</v>
      </c>
      <c r="D41" s="43" t="s">
        <v>59</v>
      </c>
      <c r="E41" s="48" t="s">
        <v>70</v>
      </c>
      <c r="F41" s="72">
        <v>52500.0</v>
      </c>
      <c r="G41" s="76">
        <v>0.05</v>
      </c>
      <c r="H41" s="53">
        <v>5000.0</v>
      </c>
      <c r="I41" s="48" t="s">
        <v>137</v>
      </c>
      <c r="J41" s="58" t="s">
        <v>151</v>
      </c>
      <c r="K41" s="48">
        <v>4000.0</v>
      </c>
      <c r="L41" s="54"/>
      <c r="M41" s="54">
        <f t="shared" si="11"/>
        <v>250</v>
      </c>
      <c r="N41" s="54"/>
      <c r="O41" s="55">
        <f t="shared" si="12"/>
        <v>750</v>
      </c>
    </row>
    <row r="42">
      <c r="A42" s="129">
        <v>45953.0</v>
      </c>
      <c r="B42" s="50" t="s">
        <v>169</v>
      </c>
      <c r="C42" s="50" t="s">
        <v>170</v>
      </c>
      <c r="D42" s="43" t="s">
        <v>59</v>
      </c>
      <c r="E42" s="48" t="s">
        <v>70</v>
      </c>
      <c r="F42" s="72">
        <v>74000.0</v>
      </c>
      <c r="G42" s="48"/>
      <c r="H42" s="53">
        <v>5000.0</v>
      </c>
      <c r="I42" s="48" t="s">
        <v>137</v>
      </c>
      <c r="J42" s="58" t="s">
        <v>151</v>
      </c>
      <c r="K42" s="58" t="s">
        <v>171</v>
      </c>
      <c r="L42" s="54"/>
      <c r="M42" s="54"/>
      <c r="N42" s="54"/>
      <c r="O42" s="55">
        <v>2500.0</v>
      </c>
    </row>
    <row r="43">
      <c r="A43" s="129">
        <v>45959.0</v>
      </c>
      <c r="B43" s="68" t="s">
        <v>173</v>
      </c>
      <c r="C43" s="50" t="s">
        <v>133</v>
      </c>
      <c r="D43" s="43" t="s">
        <v>59</v>
      </c>
      <c r="E43" s="48" t="s">
        <v>70</v>
      </c>
      <c r="F43" s="72">
        <v>67000.0</v>
      </c>
      <c r="G43" s="76">
        <v>0.05</v>
      </c>
      <c r="H43" s="53">
        <v>3350.0</v>
      </c>
      <c r="I43" s="48" t="s">
        <v>137</v>
      </c>
      <c r="J43" s="48">
        <v>167.0</v>
      </c>
      <c r="K43" s="58">
        <v>1675.0</v>
      </c>
      <c r="L43" s="54"/>
      <c r="M43" s="54">
        <f>H43*0.05</f>
        <v>167.5</v>
      </c>
      <c r="N43" s="54"/>
      <c r="O43" s="55">
        <f>H43-K43-M43</f>
        <v>1507.5</v>
      </c>
    </row>
    <row r="44">
      <c r="A44" s="130">
        <v>45965.0</v>
      </c>
      <c r="B44" s="48" t="s">
        <v>175</v>
      </c>
      <c r="C44" s="48" t="s">
        <v>115</v>
      </c>
      <c r="D44" s="75" t="s">
        <v>116</v>
      </c>
      <c r="E44" s="48" t="s">
        <v>57</v>
      </c>
      <c r="F44" s="52">
        <v>3800000.0</v>
      </c>
      <c r="G44" s="76">
        <v>0.02</v>
      </c>
      <c r="H44" s="53">
        <v>76000.0</v>
      </c>
      <c r="I44" s="54"/>
      <c r="J44" s="48">
        <v>3800.0</v>
      </c>
      <c r="K44" s="54">
        <f>H44*0.88</f>
        <v>66880</v>
      </c>
      <c r="L44" s="48"/>
      <c r="M44" s="54"/>
      <c r="N44" s="48">
        <v>500.0</v>
      </c>
      <c r="O44" s="78">
        <f>H44-K44-N44</f>
        <v>8620</v>
      </c>
    </row>
    <row r="45">
      <c r="A45" s="126">
        <v>45968.0</v>
      </c>
      <c r="B45" s="50" t="s">
        <v>178</v>
      </c>
      <c r="C45" s="50" t="s">
        <v>69</v>
      </c>
      <c r="D45" s="43" t="s">
        <v>59</v>
      </c>
      <c r="E45" s="48" t="s">
        <v>57</v>
      </c>
      <c r="F45" s="52">
        <v>560000.0</v>
      </c>
      <c r="G45" s="76">
        <v>0.02</v>
      </c>
      <c r="H45" s="53">
        <v>11200.0</v>
      </c>
      <c r="I45" s="54"/>
      <c r="J45" s="48">
        <v>560.0</v>
      </c>
      <c r="K45" s="48">
        <v>8960.0</v>
      </c>
      <c r="L45" s="54"/>
      <c r="M45" s="48">
        <v>560.0</v>
      </c>
      <c r="N45" s="54"/>
      <c r="O45" s="55">
        <f>H45-K45-M45</f>
        <v>1680</v>
      </c>
    </row>
    <row r="46">
      <c r="A46" s="128">
        <v>45974.0</v>
      </c>
      <c r="B46" s="50" t="s">
        <v>181</v>
      </c>
      <c r="C46" s="50" t="s">
        <v>69</v>
      </c>
      <c r="D46" s="43" t="s">
        <v>59</v>
      </c>
      <c r="E46" s="48" t="s">
        <v>70</v>
      </c>
      <c r="F46" s="52">
        <v>340000.0</v>
      </c>
      <c r="G46" s="76">
        <v>0.05</v>
      </c>
      <c r="H46" s="53">
        <v>8500.0</v>
      </c>
      <c r="I46" s="48" t="s">
        <v>137</v>
      </c>
      <c r="J46" s="58" t="s">
        <v>151</v>
      </c>
      <c r="K46" s="48">
        <v>4250.0</v>
      </c>
      <c r="L46" s="54"/>
      <c r="M46" s="54">
        <f t="shared" ref="M46:M47" si="13">H46*0.05</f>
        <v>425</v>
      </c>
      <c r="N46" s="54">
        <f t="shared" ref="N46:N48" si="14">H46*0.88-K46-M46</f>
        <v>2805</v>
      </c>
      <c r="O46" s="55">
        <f t="shared" ref="O46:O48" si="15">H46-K46-M46-N46</f>
        <v>1020</v>
      </c>
    </row>
    <row r="47">
      <c r="A47" s="128">
        <v>45975.0</v>
      </c>
      <c r="B47" s="50" t="s">
        <v>184</v>
      </c>
      <c r="C47" s="50" t="s">
        <v>185</v>
      </c>
      <c r="D47" s="43" t="s">
        <v>59</v>
      </c>
      <c r="E47" s="48" t="s">
        <v>57</v>
      </c>
      <c r="F47" s="52">
        <v>2100000.0</v>
      </c>
      <c r="G47" s="48" t="s">
        <v>186</v>
      </c>
      <c r="H47" s="53">
        <v>21000.0</v>
      </c>
      <c r="I47" s="54"/>
      <c r="J47" s="48">
        <v>2100.0</v>
      </c>
      <c r="K47" s="48">
        <v>10500.0</v>
      </c>
      <c r="L47" s="54"/>
      <c r="M47" s="48">
        <f t="shared" si="13"/>
        <v>1050</v>
      </c>
      <c r="N47" s="54">
        <f t="shared" si="14"/>
        <v>6930</v>
      </c>
      <c r="O47" s="78">
        <f t="shared" si="15"/>
        <v>2520</v>
      </c>
    </row>
    <row r="48">
      <c r="A48" s="130">
        <v>45975.0</v>
      </c>
      <c r="B48" s="88" t="s">
        <v>188</v>
      </c>
      <c r="C48" s="48" t="s">
        <v>189</v>
      </c>
      <c r="D48" s="43" t="s">
        <v>59</v>
      </c>
      <c r="E48" s="48" t="s">
        <v>57</v>
      </c>
      <c r="F48" s="52">
        <v>1500000.0</v>
      </c>
      <c r="G48" s="76">
        <v>0.02</v>
      </c>
      <c r="H48" s="53">
        <v>30000.0</v>
      </c>
      <c r="I48" s="54"/>
      <c r="J48" s="48">
        <v>1500.0</v>
      </c>
      <c r="K48" s="48">
        <f>H48*0.5</f>
        <v>15000</v>
      </c>
      <c r="L48" s="54"/>
      <c r="M48" s="48">
        <v>1500.0</v>
      </c>
      <c r="N48" s="54">
        <f t="shared" si="14"/>
        <v>9900</v>
      </c>
      <c r="O48" s="78">
        <f t="shared" si="15"/>
        <v>3600</v>
      </c>
    </row>
    <row r="49">
      <c r="A49" s="128">
        <v>45986.0</v>
      </c>
      <c r="B49" s="50" t="s">
        <v>192</v>
      </c>
      <c r="C49" s="50" t="s">
        <v>164</v>
      </c>
      <c r="D49" s="43" t="s">
        <v>59</v>
      </c>
      <c r="E49" s="48" t="s">
        <v>57</v>
      </c>
      <c r="F49" s="52">
        <v>960000.0</v>
      </c>
      <c r="G49" s="76">
        <v>0.02</v>
      </c>
      <c r="H49" s="53">
        <v>19200.0</v>
      </c>
      <c r="I49" s="48" t="s">
        <v>28</v>
      </c>
      <c r="J49" s="48">
        <v>960.0</v>
      </c>
      <c r="K49" s="54">
        <f>H49*0.8</f>
        <v>15360</v>
      </c>
      <c r="L49" s="54"/>
      <c r="M49" s="48">
        <v>960.0</v>
      </c>
      <c r="N49" s="54"/>
      <c r="O49" s="55">
        <v>3840.0</v>
      </c>
    </row>
    <row r="50">
      <c r="A50" s="128">
        <v>45986.0</v>
      </c>
      <c r="B50" s="50" t="s">
        <v>194</v>
      </c>
      <c r="C50" s="50" t="s">
        <v>79</v>
      </c>
      <c r="D50" s="43" t="s">
        <v>253</v>
      </c>
      <c r="E50" s="48" t="s">
        <v>57</v>
      </c>
      <c r="F50" s="52">
        <v>3600000.0</v>
      </c>
      <c r="G50" s="76">
        <v>0.02</v>
      </c>
      <c r="H50" s="57">
        <v>72000.0</v>
      </c>
      <c r="I50" s="48"/>
      <c r="J50" s="58">
        <v>3600.0</v>
      </c>
      <c r="K50" s="48">
        <v>9750.0</v>
      </c>
      <c r="L50" s="54"/>
      <c r="M50" s="58">
        <f>H50*0.02</f>
        <v>1440</v>
      </c>
      <c r="N50" s="54"/>
      <c r="O50" s="55">
        <v>6500.0</v>
      </c>
    </row>
    <row r="51">
      <c r="A51" s="128">
        <v>45987.0</v>
      </c>
      <c r="B51" s="79" t="s">
        <v>197</v>
      </c>
      <c r="C51" s="50" t="s">
        <v>198</v>
      </c>
      <c r="D51" s="43" t="s">
        <v>59</v>
      </c>
      <c r="E51" s="48" t="s">
        <v>57</v>
      </c>
      <c r="F51" s="52">
        <v>5500000.0</v>
      </c>
      <c r="G51" s="76">
        <v>0.02</v>
      </c>
      <c r="H51" s="57">
        <v>140000.0</v>
      </c>
      <c r="I51" s="54"/>
      <c r="J51" s="48">
        <v>5500.0</v>
      </c>
      <c r="K51" s="54">
        <f>140000*0.8</f>
        <v>112000</v>
      </c>
      <c r="L51" s="54"/>
      <c r="M51" s="48">
        <v>7000.0</v>
      </c>
      <c r="N51" s="54"/>
      <c r="O51" s="78">
        <f>140000-K51-M51</f>
        <v>21000</v>
      </c>
    </row>
    <row r="52">
      <c r="A52" s="126">
        <v>45994.0</v>
      </c>
      <c r="B52" s="50" t="s">
        <v>201</v>
      </c>
      <c r="C52" s="50" t="s">
        <v>115</v>
      </c>
      <c r="D52" s="75" t="s">
        <v>116</v>
      </c>
      <c r="E52" s="48" t="s">
        <v>57</v>
      </c>
      <c r="F52" s="72">
        <v>6960000.0</v>
      </c>
      <c r="G52" s="48">
        <v>100000.0</v>
      </c>
      <c r="H52" s="53">
        <v>100000.0</v>
      </c>
      <c r="I52" s="48" t="s">
        <v>28</v>
      </c>
      <c r="J52" s="48">
        <v>5000.0</v>
      </c>
      <c r="K52" s="48">
        <v>90000.0</v>
      </c>
      <c r="L52" s="54"/>
      <c r="M52" s="54"/>
      <c r="N52" s="54"/>
      <c r="O52" s="55">
        <v>10000.0</v>
      </c>
    </row>
    <row r="53">
      <c r="A53" s="128">
        <v>46008.0</v>
      </c>
      <c r="B53" s="82" t="s">
        <v>203</v>
      </c>
      <c r="C53" s="50" t="s">
        <v>204</v>
      </c>
      <c r="D53" s="43" t="s">
        <v>59</v>
      </c>
      <c r="E53" s="48" t="s">
        <v>57</v>
      </c>
      <c r="F53" s="72">
        <v>4200000.0</v>
      </c>
      <c r="G53" s="48">
        <v>84000.0</v>
      </c>
      <c r="H53" s="48">
        <v>84000.0</v>
      </c>
      <c r="I53" s="48" t="s">
        <v>28</v>
      </c>
      <c r="J53" s="48">
        <v>4200.0</v>
      </c>
      <c r="K53" s="48">
        <v>33600.0</v>
      </c>
      <c r="L53" s="54"/>
      <c r="M53" s="54">
        <f>G53*0.05</f>
        <v>4200</v>
      </c>
      <c r="N53" s="54">
        <f>G53*0.43</f>
        <v>36120</v>
      </c>
      <c r="O53" s="55">
        <f>G53-K53-M53-N53</f>
        <v>10080</v>
      </c>
    </row>
    <row r="54">
      <c r="A54" s="128">
        <v>46008.0</v>
      </c>
      <c r="B54" s="68" t="s">
        <v>203</v>
      </c>
      <c r="C54" s="50" t="s">
        <v>204</v>
      </c>
      <c r="D54" s="43" t="s">
        <v>59</v>
      </c>
      <c r="E54" s="48" t="s">
        <v>57</v>
      </c>
      <c r="F54" s="72">
        <v>4200000.0</v>
      </c>
      <c r="G54" s="48">
        <v>25000.0</v>
      </c>
      <c r="H54" s="48">
        <v>25000.0</v>
      </c>
      <c r="I54" s="48" t="s">
        <v>28</v>
      </c>
      <c r="J54" s="48">
        <v>0.0</v>
      </c>
      <c r="K54" s="48">
        <v>20000.0</v>
      </c>
      <c r="L54" s="54"/>
      <c r="M54" s="54"/>
      <c r="N54" s="54"/>
      <c r="O54" s="55">
        <v>5000.0</v>
      </c>
    </row>
    <row r="55">
      <c r="A55" s="130">
        <v>46016.0</v>
      </c>
      <c r="B55" s="131" t="s">
        <v>254</v>
      </c>
      <c r="C55" s="48" t="s">
        <v>255</v>
      </c>
      <c r="D55" s="43" t="s">
        <v>59</v>
      </c>
      <c r="E55" s="48" t="s">
        <v>57</v>
      </c>
      <c r="F55" s="72">
        <v>1650000.0</v>
      </c>
      <c r="G55" s="76">
        <v>0.02</v>
      </c>
      <c r="H55" s="53">
        <v>33000.0</v>
      </c>
      <c r="I55" s="54"/>
      <c r="J55" s="48">
        <v>1650.0</v>
      </c>
      <c r="K55" s="54"/>
      <c r="L55" s="54"/>
      <c r="M55" s="54"/>
      <c r="N55" s="54"/>
      <c r="O55" s="69"/>
    </row>
    <row r="56">
      <c r="A56" s="126">
        <v>46029.0</v>
      </c>
      <c r="B56" s="50" t="s">
        <v>207</v>
      </c>
      <c r="C56" s="50" t="s">
        <v>208</v>
      </c>
      <c r="D56" s="43" t="s">
        <v>59</v>
      </c>
      <c r="E56" s="48" t="s">
        <v>70</v>
      </c>
      <c r="F56" s="72">
        <v>100000.0</v>
      </c>
      <c r="G56" s="48">
        <v>4000.0</v>
      </c>
      <c r="H56" s="48">
        <v>4000.0</v>
      </c>
      <c r="I56" s="54"/>
      <c r="J56" s="54"/>
      <c r="K56" s="54"/>
      <c r="L56" s="54"/>
      <c r="M56" s="54">
        <f>H56*0.05</f>
        <v>200</v>
      </c>
      <c r="N56" s="54"/>
      <c r="O56" s="69">
        <f>H56-M56</f>
        <v>3800</v>
      </c>
    </row>
  </sheetData>
  <autoFilter ref="$A$1:$O$56"/>
  <dataValidations>
    <dataValidation type="list" allowBlank="1" showErrorMessage="1" sqref="E2:E56">
      <formula1>"Вторичка,Аренда"</formula1>
    </dataValidation>
  </dataValidations>
  <drawing r:id="rId1"/>
</worksheet>
</file>