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Расходы" sheetId="1" r:id="rId5"/>
    <sheet state="visible" name="Finance" sheetId="2" r:id="rId6"/>
    <sheet state="visible" name="Real Estate" sheetId="3" r:id="rId7"/>
    <sheet state="visible" name="Real Estate (копия)" sheetId="4" r:id="rId8"/>
    <sheet state="visible" name="Лист13" sheetId="5" r:id="rId9"/>
    <sheet state="visible" name="Бухгалтерия" sheetId="6" r:id="rId10"/>
    <sheet state="visible" name="Другие доходы" sheetId="7" r:id="rId11"/>
    <sheet state="visible" name="Сделки сотрудников" sheetId="8" r:id="rId12"/>
    <sheet state="visible" name="Партнеры" sheetId="9" r:id="rId13"/>
  </sheets>
  <definedNames>
    <definedName hidden="1" localSheetId="3" name="_xlnm._FilterDatabase">'Real Estate (копия)'!$A$1:$Y$278</definedName>
    <definedName hidden="1" localSheetId="4" name="_xlnm._FilterDatabase">'Лист13'!$F$1:$H$37</definedName>
    <definedName hidden="1" localSheetId="2" name="Z_DBDD2CFC_C01A_4AA0_9270_B4A7006DEB78_.wvu.FilterData">'Real Estate'!$A$1:$Y$273</definedName>
    <definedName hidden="1" localSheetId="3" name="Z_DBDD2CFC_C01A_4AA0_9270_B4A7006DEB78_.wvu.FilterData">'Real Estate (копия)'!$A$1:$Y$273</definedName>
    <definedName name="SlicerCache_Table_1_Col_1">#N/A</definedName>
  </definedNames>
  <calcPr/>
  <customWorkbookViews>
    <customWorkbookView activeSheetId="0" maximized="1" windowHeight="0" windowWidth="0" guid="{DBDD2CFC-C01A-4AA0-9270-B4A7006DEB78}" name="Фильтр 1"/>
  </customWorkbookViews>
  <extLst>
    <ext uri="{46BE6895-7355-4a93-B00E-2C351335B9C9}">
      <x15:slicerCaches>
        <x14:slicerCache r:id="rId14"/>
      </x15:slicerCaches>
    </ext>
  </extLst>
</workbook>
</file>

<file path=xl/sharedStrings.xml><?xml version="1.0" encoding="utf-8"?>
<sst xmlns="http://schemas.openxmlformats.org/spreadsheetml/2006/main" count="4281" uniqueCount="1056">
  <si>
    <t>Артем</t>
  </si>
  <si>
    <t>Никита</t>
  </si>
  <si>
    <t>Гульноза</t>
  </si>
  <si>
    <t>Описание</t>
  </si>
  <si>
    <t>Сумма</t>
  </si>
  <si>
    <t>Оплата трафика Facebook</t>
  </si>
  <si>
    <t>Сайт</t>
  </si>
  <si>
    <t>Поездка с Клиентами в РАХ</t>
  </si>
  <si>
    <t>Лидген</t>
  </si>
  <si>
    <t>Виза Ксюше</t>
  </si>
  <si>
    <t>Подарки сотрудникам</t>
  </si>
  <si>
    <t>трафик</t>
  </si>
  <si>
    <t>База</t>
  </si>
  <si>
    <t>телефония Саши</t>
  </si>
  <si>
    <t>битрикс</t>
  </si>
  <si>
    <t>Оплата call gear</t>
  </si>
  <si>
    <t>Таргет февраль</t>
  </si>
  <si>
    <t>оплата мероприятия Сбера</t>
  </si>
  <si>
    <t>Оплата DEWA</t>
  </si>
  <si>
    <t>аванс Оле</t>
  </si>
  <si>
    <t>Насте за визы Ксюшам и получение дополнительных квот</t>
  </si>
  <si>
    <t>Визы Ксюш, Насте и квоты</t>
  </si>
  <si>
    <t>подарок Юле мтс</t>
  </si>
  <si>
    <t>Остаток Насте за визы</t>
  </si>
  <si>
    <t>мероприятие сбера</t>
  </si>
  <si>
    <t>Оплата пермита для DLD</t>
  </si>
  <si>
    <t>оплата сайта</t>
  </si>
  <si>
    <t>машина для Клиентов</t>
  </si>
  <si>
    <t>аванс брокеру (партнер Юли)</t>
  </si>
  <si>
    <t>перевод бугинг для Артема</t>
  </si>
  <si>
    <t>Оплата базы</t>
  </si>
  <si>
    <t>google</t>
  </si>
  <si>
    <t>петличка для съемок</t>
  </si>
  <si>
    <t>внес на зп</t>
  </si>
  <si>
    <t>оплата 3х сим карт</t>
  </si>
  <si>
    <t xml:space="preserve">огнетушители </t>
  </si>
  <si>
    <t>поездка с клиентами банка</t>
  </si>
  <si>
    <t>покупка базы</t>
  </si>
  <si>
    <t>катриджи</t>
  </si>
  <si>
    <t>Оплата симкарт</t>
  </si>
  <si>
    <t>вывели на Гульнозу</t>
  </si>
  <si>
    <t>цветы для Малики</t>
  </si>
  <si>
    <t>поездка с клиентом</t>
  </si>
  <si>
    <t>Итог</t>
  </si>
  <si>
    <t>Энтони</t>
  </si>
  <si>
    <t>Рома</t>
  </si>
  <si>
    <t>Компания</t>
  </si>
  <si>
    <t>Оплата Property Finder</t>
  </si>
  <si>
    <t>Выдача 25.12</t>
  </si>
  <si>
    <t>Оплата офиса</t>
  </si>
  <si>
    <t>зп Ксюша</t>
  </si>
  <si>
    <t>Выдача 26.12</t>
  </si>
  <si>
    <t>Смена лицензии</t>
  </si>
  <si>
    <t>инвойс Саше бухгалтеру</t>
  </si>
  <si>
    <t>Выдача 27.12</t>
  </si>
  <si>
    <t>26.03 Sothebys за сделку коммерция</t>
  </si>
  <si>
    <t>машина для Гульнозы (инвесторы)</t>
  </si>
  <si>
    <t>отправили Артему 2300 usdt</t>
  </si>
  <si>
    <t>26.03 Кате роп за сделку коммерция</t>
  </si>
  <si>
    <t>Property finder</t>
  </si>
  <si>
    <t>Выдача 12.01</t>
  </si>
  <si>
    <t>инстаграм 3 месяца</t>
  </si>
  <si>
    <t>проживание Адиля</t>
  </si>
  <si>
    <t>Выдача Ксюше 31.01</t>
  </si>
  <si>
    <t>оплата бронирования за клиента с карты Энтони</t>
  </si>
  <si>
    <t>Кате как рефералу за Машу Тайгер</t>
  </si>
  <si>
    <t>Никите</t>
  </si>
  <si>
    <t>открытие счета в nbd</t>
  </si>
  <si>
    <t>Туркину за договор</t>
  </si>
  <si>
    <t>Забрал Артем 16.02</t>
  </si>
  <si>
    <t>выдали Туркину на наследство</t>
  </si>
  <si>
    <t>рекомендация РОПа</t>
  </si>
  <si>
    <t>на проект Антона dbank</t>
  </si>
  <si>
    <t>связь</t>
  </si>
  <si>
    <t>цветы менеджеру Альдара</t>
  </si>
  <si>
    <t>вода</t>
  </si>
  <si>
    <t>аренда подкаст студии</t>
  </si>
  <si>
    <t>Саиду (шоба) реферал сделки Юсуфа (Эллингтон)</t>
  </si>
  <si>
    <t>мероприятие НЕ бизнес тусовка</t>
  </si>
  <si>
    <t>оплата qr кода</t>
  </si>
  <si>
    <t>Машина для партнера VRC 3 дня</t>
  </si>
  <si>
    <t>реферад Ильи (шоба) сопр вторички</t>
  </si>
  <si>
    <t>зарплата Вовы</t>
  </si>
  <si>
    <t>конвертация в рубли (перевод)</t>
  </si>
  <si>
    <t>аванс Вове роп</t>
  </si>
  <si>
    <t>оплата по ссылке за юнит дамак 
Партнер Шая (вычтем с партнера )</t>
  </si>
  <si>
    <t>перевели на квартиру</t>
  </si>
  <si>
    <t>Изготовление чека для оплаты в Альдар 
Партнер Катя VRC</t>
  </si>
  <si>
    <t>Малике Дамак реферал за 2 сделки Адиля</t>
  </si>
  <si>
    <t>Алексею за Монако</t>
  </si>
  <si>
    <t>аналитика + обучение команды  (инвест комитет )</t>
  </si>
  <si>
    <t>выплата Ксении тайгер</t>
  </si>
  <si>
    <t>Александре (виза ран)</t>
  </si>
  <si>
    <t>машина для клиента</t>
  </si>
  <si>
    <t>выдал Боре</t>
  </si>
  <si>
    <t>клавиатура</t>
  </si>
  <si>
    <t>амо срм</t>
  </si>
  <si>
    <t>микроволновка</t>
  </si>
  <si>
    <t>Finance</t>
  </si>
  <si>
    <t>Дата</t>
  </si>
  <si>
    <t>Клиент</t>
  </si>
  <si>
    <t>Сумма, USD</t>
  </si>
  <si>
    <t>Ольга</t>
  </si>
  <si>
    <t>Стас</t>
  </si>
  <si>
    <t>Нелли</t>
  </si>
  <si>
    <t>От Ксюши</t>
  </si>
  <si>
    <t>агенство с башни</t>
  </si>
  <si>
    <t>Алина роу</t>
  </si>
  <si>
    <t>Томск</t>
  </si>
  <si>
    <t>Новосибирск</t>
  </si>
  <si>
    <t>Турки</t>
  </si>
  <si>
    <t>Марк</t>
  </si>
  <si>
    <t>one place</t>
  </si>
  <si>
    <t>клиент Никиты</t>
  </si>
  <si>
    <t>Марк еврей</t>
  </si>
  <si>
    <t>Сотбис чек</t>
  </si>
  <si>
    <t>Марк чек</t>
  </si>
  <si>
    <t>Ксюша</t>
  </si>
  <si>
    <t>Лена</t>
  </si>
  <si>
    <t>Лучший Никита</t>
  </si>
  <si>
    <t>Михаил Богатырев</t>
  </si>
  <si>
    <t>ДДА</t>
  </si>
  <si>
    <t>Гоар</t>
  </si>
  <si>
    <t>камол</t>
  </si>
  <si>
    <t>Хасанбек</t>
  </si>
  <si>
    <t>ДДА Дина</t>
  </si>
  <si>
    <t>Филипп</t>
  </si>
  <si>
    <t>FALSE</t>
  </si>
  <si>
    <t>Отдел</t>
  </si>
  <si>
    <t>ФИО Клиента</t>
  </si>
  <si>
    <t>ФИО Брокера</t>
  </si>
  <si>
    <t>ФИО Реферала</t>
  </si>
  <si>
    <t>Стоимость объекта, AED</t>
  </si>
  <si>
    <t>Застройщик</t>
  </si>
  <si>
    <t>Комиссия застройщика,%</t>
  </si>
  <si>
    <t>Сумма комиссии, AED</t>
  </si>
  <si>
    <t>VAT</t>
  </si>
  <si>
    <t>Комиссия брокера, %</t>
  </si>
  <si>
    <t>Сумма комиссии брокера, AED</t>
  </si>
  <si>
    <t>Сумма комиссии реферала, AED</t>
  </si>
  <si>
    <t>Сопровождение, 0,75%</t>
  </si>
  <si>
    <t>Сумма на компании, AED</t>
  </si>
  <si>
    <t>Дата выставления инвойса</t>
  </si>
  <si>
    <t>Комиссия получена</t>
  </si>
  <si>
    <t>Ожидаемая дата получения комиссии</t>
  </si>
  <si>
    <t>Выплачено брокеру</t>
  </si>
  <si>
    <t>Выплачено рефералу</t>
  </si>
  <si>
    <t>Выплачено РОПу</t>
  </si>
  <si>
    <t>Ответственный</t>
  </si>
  <si>
    <t>@</t>
  </si>
  <si>
    <t>Partnership</t>
  </si>
  <si>
    <t>Павел Бородкин</t>
  </si>
  <si>
    <t>Мария</t>
  </si>
  <si>
    <t>Катя</t>
  </si>
  <si>
    <t>Tiger Properties</t>
  </si>
  <si>
    <t>да</t>
  </si>
  <si>
    <t>-</t>
  </si>
  <si>
    <t>CB</t>
  </si>
  <si>
    <t>Светлана Ильина</t>
  </si>
  <si>
    <t>Ксения Третьякова</t>
  </si>
  <si>
    <t>Будаев Андрей</t>
  </si>
  <si>
    <t>PHD</t>
  </si>
  <si>
    <t>Наталья Пучкина</t>
  </si>
  <si>
    <t>Зубарев Константин</t>
  </si>
  <si>
    <t>Павел Гребенников</t>
  </si>
  <si>
    <t>Адиль</t>
  </si>
  <si>
    <t>Малика</t>
  </si>
  <si>
    <t>Acube development</t>
  </si>
  <si>
    <t>Reportage Village</t>
  </si>
  <si>
    <t>Денис Александров</t>
  </si>
  <si>
    <t>Радченко Юрий</t>
  </si>
  <si>
    <t>Deyaar</t>
  </si>
  <si>
    <t>Игорь Макаров</t>
  </si>
  <si>
    <t>Юля Колыхалова</t>
  </si>
  <si>
    <t>Eagle Hills</t>
  </si>
  <si>
    <t>Роман Деревягин</t>
  </si>
  <si>
    <t>Дмитрий Кряжев</t>
  </si>
  <si>
    <t>Дмитрий Кудрявцев</t>
  </si>
  <si>
    <t xml:space="preserve">Мария </t>
  </si>
  <si>
    <t>Reportage</t>
  </si>
  <si>
    <t>Кемал Гараджагулов</t>
  </si>
  <si>
    <t>Нашад</t>
  </si>
  <si>
    <t>Vision Avenue Homes</t>
  </si>
  <si>
    <t>Мария Рейльян</t>
  </si>
  <si>
    <t>Артем Герасимов</t>
  </si>
  <si>
    <t>Aldar</t>
  </si>
  <si>
    <t>Александр Вайнштейн</t>
  </si>
  <si>
    <t>Павел Татарников</t>
  </si>
  <si>
    <t>Умар Кадыров</t>
  </si>
  <si>
    <t>Юсуф</t>
  </si>
  <si>
    <t>Шоба Саид</t>
  </si>
  <si>
    <t>Ellington</t>
  </si>
  <si>
    <t>Александр Косолапов</t>
  </si>
  <si>
    <t>Эля</t>
  </si>
  <si>
    <t>ADVANCED PROPERTIES</t>
  </si>
  <si>
    <t>Евгений Давыдов</t>
  </si>
  <si>
    <t>Першин Андрей</t>
  </si>
  <si>
    <t>?</t>
  </si>
  <si>
    <t>Peace Homes Group</t>
  </si>
  <si>
    <t>Марина Волкова</t>
  </si>
  <si>
    <t>Катя ВРС</t>
  </si>
  <si>
    <t>Ксения Тайгер</t>
  </si>
  <si>
    <t>Луткова Ирина</t>
  </si>
  <si>
    <t>Алексей Клыков</t>
  </si>
  <si>
    <t>Range</t>
  </si>
  <si>
    <t>да, 70% безнал, 18% налчиные</t>
  </si>
  <si>
    <t>Лутков Валерий</t>
  </si>
  <si>
    <t>Wolfmeir Johann</t>
  </si>
  <si>
    <t xml:space="preserve">Аделина </t>
  </si>
  <si>
    <t>East and West</t>
  </si>
  <si>
    <t>Да, все на счет 19.06</t>
  </si>
  <si>
    <t>да, крипта 21.06</t>
  </si>
  <si>
    <t>Ксюше 4% (6192аед)</t>
  </si>
  <si>
    <t>Скоморох Владимир</t>
  </si>
  <si>
    <t>Илья Колбин</t>
  </si>
  <si>
    <t>SOBHA</t>
  </si>
  <si>
    <t>Комиссия получена, чек 28.06</t>
  </si>
  <si>
    <t>Головина Александра</t>
  </si>
  <si>
    <t>SWISS Property</t>
  </si>
  <si>
    <t>Real Estate</t>
  </si>
  <si>
    <t>ALEKSANDR KISELEV / PAVEL SAVELEV</t>
  </si>
  <si>
    <t>Артем Зубков</t>
  </si>
  <si>
    <t>Вова роп</t>
  </si>
  <si>
    <t>Binghatti</t>
  </si>
  <si>
    <t>да, 70% безнал, 18% крипта</t>
  </si>
  <si>
    <t>нужно 5%</t>
  </si>
  <si>
    <t>Анастасия Макарова</t>
  </si>
  <si>
    <t>Tabeer</t>
  </si>
  <si>
    <t>инв от 08.10</t>
  </si>
  <si>
    <t>Сафиуллин Булат</t>
  </si>
  <si>
    <t>Danube</t>
  </si>
  <si>
    <t>да, все криптой 21.08</t>
  </si>
  <si>
    <t>Oussama Ouhadou</t>
  </si>
  <si>
    <t>Салохин Владимир</t>
  </si>
  <si>
    <t>Object 1</t>
  </si>
  <si>
    <t>Barseghyan Ghazaros</t>
  </si>
  <si>
    <t>Levon</t>
  </si>
  <si>
    <t>Осипов</t>
  </si>
  <si>
    <t>Imtiaz Developments</t>
  </si>
  <si>
    <t>Комиссия получена 2,5+2,5</t>
  </si>
  <si>
    <t>да, авансировали 85%, 3%фин отделу по факту прихода комиссии (из постпулений!) не оплачивать</t>
  </si>
  <si>
    <t>Екатерина Отт</t>
  </si>
  <si>
    <t xml:space="preserve">A M B S REAL ESTATE </t>
  </si>
  <si>
    <t>Мороз Александра</t>
  </si>
  <si>
    <t>Говоркова Светлана</t>
  </si>
  <si>
    <t>Волков Александр</t>
  </si>
  <si>
    <t>Harbour One Investment LLC</t>
  </si>
  <si>
    <t>Тарло Денис</t>
  </si>
  <si>
    <t>Farnz Berl</t>
  </si>
  <si>
    <t>Айназик</t>
  </si>
  <si>
    <t>Danube Properties</t>
  </si>
  <si>
    <t>да, авансировали 80%, 8%фин отделу по факту прихода комиссии</t>
  </si>
  <si>
    <t>Анна Максунова</t>
  </si>
  <si>
    <t>Смирнов Виталий</t>
  </si>
  <si>
    <t>чек у нас от 18.12</t>
  </si>
  <si>
    <t>Мария Михайлова</t>
  </si>
  <si>
    <t>Иван</t>
  </si>
  <si>
    <t>Segrex Development LLC</t>
  </si>
  <si>
    <t>Umid Yuldashev</t>
  </si>
  <si>
    <t>H and H</t>
  </si>
  <si>
    <t>да, (авансировали 88 800 аед - вернули)</t>
  </si>
  <si>
    <t>Олег Галушкин</t>
  </si>
  <si>
    <t>Артем Нью Движимость</t>
  </si>
  <si>
    <t>Вова РОп</t>
  </si>
  <si>
    <t>Nshama Properties</t>
  </si>
  <si>
    <t>Комиссия получена 2%+2</t>
  </si>
  <si>
    <t>Maria Andrea Burgess</t>
  </si>
  <si>
    <t>DECA</t>
  </si>
  <si>
    <t xml:space="preserve">Комиссия получена </t>
  </si>
  <si>
    <t xml:space="preserve">да </t>
  </si>
  <si>
    <t>Timur Shoumarov</t>
  </si>
  <si>
    <t>да, транио</t>
  </si>
  <si>
    <t>Heerendrasinh Devendrasinh</t>
  </si>
  <si>
    <t>Emaar</t>
  </si>
  <si>
    <t>Скотников Николай</t>
  </si>
  <si>
    <t>Ник Матвеев</t>
  </si>
  <si>
    <t>инв от 04.12</t>
  </si>
  <si>
    <t>должны Роме</t>
  </si>
  <si>
    <t>Крицына Евгения</t>
  </si>
  <si>
    <t>Samana Developers</t>
  </si>
  <si>
    <t>комиссия получена 17.01</t>
  </si>
  <si>
    <t>Екатерина Ниссанова</t>
  </si>
  <si>
    <t>Виктория Бурмакина</t>
  </si>
  <si>
    <t>Алена Кушнир</t>
  </si>
  <si>
    <t>Tiger</t>
  </si>
  <si>
    <t>Комиссия получена (чек)</t>
  </si>
  <si>
    <t>Arabekova Meerim</t>
  </si>
  <si>
    <t>Ярослав</t>
  </si>
  <si>
    <t>Левон/Осипов</t>
  </si>
  <si>
    <t>вся комиссия получена</t>
  </si>
  <si>
    <t>авансировали 80% от 2,5х2 (38370+38370)</t>
  </si>
  <si>
    <t>Голенко Наталья</t>
  </si>
  <si>
    <t>Юлия Колыхалова</t>
  </si>
  <si>
    <t>Qube Development</t>
  </si>
  <si>
    <t>комиссия получена</t>
  </si>
  <si>
    <t>Диана</t>
  </si>
  <si>
    <t>Алексей Белопоросов</t>
  </si>
  <si>
    <t>Maria Shwartz</t>
  </si>
  <si>
    <t>Demucky Vladimir</t>
  </si>
  <si>
    <t>Me Do Re Developments DMCC</t>
  </si>
  <si>
    <t>комиссия получена 25.11</t>
  </si>
  <si>
    <t>Ушков Павел</t>
  </si>
  <si>
    <t>AA HMB</t>
  </si>
  <si>
    <t>комиссия получена 31/12</t>
  </si>
  <si>
    <t>Муслим Даслаев</t>
  </si>
  <si>
    <t>Абдурахман</t>
  </si>
  <si>
    <t>Саид</t>
  </si>
  <si>
    <t>TownX Real</t>
  </si>
  <si>
    <t>Елена Давыдова</t>
  </si>
  <si>
    <t>Игорь</t>
  </si>
  <si>
    <t>Obj1</t>
  </si>
  <si>
    <t>Наретя Ольга</t>
  </si>
  <si>
    <t>Козина 8%, 1% Тайгер</t>
  </si>
  <si>
    <t>получено 1,6% остальное в апреле</t>
  </si>
  <si>
    <t>всем оплатили от 1,6</t>
  </si>
  <si>
    <t>Ксюша Рублева</t>
  </si>
  <si>
    <t>Дальсаев Муслим</t>
  </si>
  <si>
    <t>70% на счет</t>
  </si>
  <si>
    <t>да, Энтони 01.10</t>
  </si>
  <si>
    <r>
      <rPr>
        <rFont val="Verdana"/>
        <color rgb="FF2C2C4D"/>
      </rPr>
      <t>70% на счет</t>
    </r>
  </si>
  <si>
    <t>да, Энтони 01.11</t>
  </si>
  <si>
    <r>
      <rPr>
        <rFont val="Verdana"/>
        <color rgb="FF2C2C4D"/>
      </rPr>
      <t>70% на счет</t>
    </r>
  </si>
  <si>
    <t>да, Энтони 01.12</t>
  </si>
  <si>
    <t>Туйматов Геннадий</t>
  </si>
  <si>
    <t>Виктор Бобров</t>
  </si>
  <si>
    <t>Леван</t>
  </si>
  <si>
    <t>Rak Properties</t>
  </si>
  <si>
    <t>получена 02.01</t>
  </si>
  <si>
    <t>Белагарян Джулиета</t>
  </si>
  <si>
    <t>Андрей Поддубный</t>
  </si>
  <si>
    <t>Вова роп сопровожд</t>
  </si>
  <si>
    <t>Yazdanpanah Gholamreza</t>
  </si>
  <si>
    <t>Moheb Rasooli</t>
  </si>
  <si>
    <t>Юля роп</t>
  </si>
  <si>
    <t xml:space="preserve">Time Properties </t>
  </si>
  <si>
    <t>всем оплатили</t>
  </si>
  <si>
    <t>Антонов Алексей</t>
  </si>
  <si>
    <t>HMB real estate</t>
  </si>
  <si>
    <t>комиссия получена 04.01</t>
  </si>
  <si>
    <t>Владислав Оверин</t>
  </si>
  <si>
    <t>HMB Development</t>
  </si>
  <si>
    <t>Иван Писарев</t>
  </si>
  <si>
    <t>Ольга Личманова</t>
  </si>
  <si>
    <t>Иван от Клыкова</t>
  </si>
  <si>
    <t>комиссия получена 10.12</t>
  </si>
  <si>
    <t>Наталия Минченкова</t>
  </si>
  <si>
    <r>
      <rPr>
        <rFont val="Verdana"/>
        <color rgb="FF2C2C4D"/>
      </rPr>
      <t>Ольга Личманова</t>
    </r>
  </si>
  <si>
    <t>комиссия получена 15.11</t>
  </si>
  <si>
    <t>Bulatova Snezana</t>
  </si>
  <si>
    <t>Козина 8%, Роп 1,5%, 1% Тайгер</t>
  </si>
  <si>
    <t>комиссия получена 18.02</t>
  </si>
  <si>
    <t xml:space="preserve">Margarita Lupunchuk </t>
  </si>
  <si>
    <t>чек забираем 04.03.25</t>
  </si>
  <si>
    <t>комиссия получена 04.03</t>
  </si>
  <si>
    <t>Lyazzat Tulenova</t>
  </si>
  <si>
    <t>Ольга Прохорова</t>
  </si>
  <si>
    <t>Юля РОП</t>
  </si>
  <si>
    <t>Dewmark</t>
  </si>
  <si>
    <t>комиссия получена 30.01</t>
  </si>
  <si>
    <t>ABDULELAH NAEEM H AGHA</t>
  </si>
  <si>
    <t>Shaima</t>
  </si>
  <si>
    <t>Octa properties</t>
  </si>
  <si>
    <t>комиссия получена 7.12</t>
  </si>
  <si>
    <t>Ксюше оплатили</t>
  </si>
  <si>
    <t>ADLET RAKHIMZHANOV</t>
  </si>
  <si>
    <t>DAMAC</t>
  </si>
  <si>
    <t>комиссия получена 10.01</t>
  </si>
  <si>
    <t>Екатерина,Сергей Воронцовы</t>
  </si>
  <si>
    <t>Козина 18%, 1% Тайгер</t>
  </si>
  <si>
    <t>комиссия получена 24.12</t>
  </si>
  <si>
    <t>Анастасия Андронова</t>
  </si>
  <si>
    <t>Паневкина Александра</t>
  </si>
  <si>
    <t>Dugasta Properties</t>
  </si>
  <si>
    <t>чек 50% получен 11/01, 2ой инв от 25.03</t>
  </si>
  <si>
    <t>Саше все оплатили</t>
  </si>
  <si>
    <t>Искандар</t>
  </si>
  <si>
    <t>Олег Мирзоев</t>
  </si>
  <si>
    <t>комиссия получена 20.11</t>
  </si>
  <si>
    <t>Саше выплачено</t>
  </si>
  <si>
    <t>Sufian khan</t>
  </si>
  <si>
    <t>Muhammad Mehar</t>
  </si>
  <si>
    <t>Khalid Mechal / Ekatherina Knyazeva</t>
  </si>
  <si>
    <t>комиссия получена 2,5+2,5</t>
  </si>
  <si>
    <t xml:space="preserve">Anna Dobroumova </t>
  </si>
  <si>
    <t>Golden Bridge</t>
  </si>
  <si>
    <t>комиссия получена 05.12</t>
  </si>
  <si>
    <r>
      <rPr>
        <rFont val="Verdana"/>
        <color theme="1"/>
      </rPr>
      <t xml:space="preserve">авансировали 25185,21 </t>
    </r>
    <r>
      <rPr>
        <rFont val="Verdana"/>
        <color rgb="FFFF0000"/>
      </rPr>
      <t>должны</t>
    </r>
  </si>
  <si>
    <t>Iryna Rygner</t>
  </si>
  <si>
    <t>1% Тайгер</t>
  </si>
  <si>
    <t>комиссия получена 19.11</t>
  </si>
  <si>
    <t>Dmitrii Korobeinikov</t>
  </si>
  <si>
    <t xml:space="preserve"> 1% Тайгер</t>
  </si>
  <si>
    <t>комиссия получена23.11</t>
  </si>
  <si>
    <t>Анастасия Гурьянова</t>
  </si>
  <si>
    <t>Колыхалова</t>
  </si>
  <si>
    <t>комиссия получена 16/01+01/03</t>
  </si>
  <si>
    <t>выплачено</t>
  </si>
  <si>
    <t>Ксения Корнева</t>
  </si>
  <si>
    <t>Вова РОП</t>
  </si>
  <si>
    <t>комиссия получена 27.12</t>
  </si>
  <si>
    <t>Донцов Дмитрий</t>
  </si>
  <si>
    <t>Ekaterina NBD</t>
  </si>
  <si>
    <t>получена 14.12</t>
  </si>
  <si>
    <t>Обломей Александра</t>
  </si>
  <si>
    <t>Ольга Теплякова</t>
  </si>
  <si>
    <t>Evolution Developer</t>
  </si>
  <si>
    <t>инв от 10.02</t>
  </si>
  <si>
    <t>Жиленко Алина</t>
  </si>
  <si>
    <t>Катя NBD</t>
  </si>
  <si>
    <t>комиссия получена 24/02</t>
  </si>
  <si>
    <t>Valeriy Saksagan</t>
  </si>
  <si>
    <t>инв от 02.1.25, получена 16.04</t>
  </si>
  <si>
    <t>Louay Talostan</t>
  </si>
  <si>
    <t>Лера Ярмолик</t>
  </si>
  <si>
    <t>комиссия получена 18.01</t>
  </si>
  <si>
    <t>Tamara Choynowski</t>
  </si>
  <si>
    <t>Козина 8%,  1% Тайгер</t>
  </si>
  <si>
    <t>инв от 07.02, получена 03.04</t>
  </si>
  <si>
    <t>Matsko Aleksei</t>
  </si>
  <si>
    <t>Юля Калыхалова</t>
  </si>
  <si>
    <t>IRTH</t>
  </si>
  <si>
    <t>инв от 30.12</t>
  </si>
  <si>
    <t>Malanii Oleksandr</t>
  </si>
  <si>
    <t>3 чека в ферале получено</t>
  </si>
  <si>
    <t>Пеньевской Александр</t>
  </si>
  <si>
    <t>Mariam Sahakyan</t>
  </si>
  <si>
    <t>Камол</t>
  </si>
  <si>
    <t>Дарья Гудвил</t>
  </si>
  <si>
    <t>IMAN</t>
  </si>
  <si>
    <t>получена 09.01</t>
  </si>
  <si>
    <t>оплатили всем</t>
  </si>
  <si>
    <t>Hasmik Badalyan</t>
  </si>
  <si>
    <t>должны Роме отдать</t>
  </si>
  <si>
    <t>Burgmer Angela-Allexandra</t>
  </si>
  <si>
    <t>Майкл</t>
  </si>
  <si>
    <t>Анастасия Беж</t>
  </si>
  <si>
    <t>инв от 18.02, комис 11.03</t>
  </si>
  <si>
    <t>Mustafa Vasti Ergin</t>
  </si>
  <si>
    <t>Лала Турция</t>
  </si>
  <si>
    <t>Ислам от Хамида (Дамак)</t>
  </si>
  <si>
    <t>инв от 02.04, получено 03.04</t>
  </si>
  <si>
    <t>пришло 5%, ждем еще 1</t>
  </si>
  <si>
    <t>инв от 10.02, комис 11.03</t>
  </si>
  <si>
    <t>Michael Sinkovski</t>
  </si>
  <si>
    <t>инв от 07.01, комис получена 25.03</t>
  </si>
  <si>
    <t>оплатили Артему все на компании</t>
  </si>
  <si>
    <t>John Brace</t>
  </si>
  <si>
    <t>комиссия получена 26.02</t>
  </si>
  <si>
    <t>выдача Оле кэш 27.02</t>
  </si>
  <si>
    <t>Soleimani Mashallak</t>
  </si>
  <si>
    <t>комиссия получена 06.03</t>
  </si>
  <si>
    <t>Бондаренко Ольга</t>
  </si>
  <si>
    <t>Андрей Медведев</t>
  </si>
  <si>
    <t>инв от 17.02, получена 18.03</t>
  </si>
  <si>
    <t>Зайков Максим</t>
  </si>
  <si>
    <t>Ани</t>
  </si>
  <si>
    <t>Саглара + CB</t>
  </si>
  <si>
    <t>комиссия получена 24.02</t>
  </si>
  <si>
    <t>Николай Шеремет</t>
  </si>
  <si>
    <t>инв от 17.03, комис получ 25.03</t>
  </si>
  <si>
    <t>Ирина Богословская</t>
  </si>
  <si>
    <t>Семен Рутковский</t>
  </si>
  <si>
    <t>Алсу HR</t>
  </si>
  <si>
    <t>Durar</t>
  </si>
  <si>
    <t>инв от 25.02</t>
  </si>
  <si>
    <t>Mounir Hasnaoi</t>
  </si>
  <si>
    <t>Qube Дарья</t>
  </si>
  <si>
    <t>Шайма</t>
  </si>
  <si>
    <t>комиссия получена 19.02</t>
  </si>
  <si>
    <t>Камал Навруз</t>
  </si>
  <si>
    <t>Дилара</t>
  </si>
  <si>
    <t>ждем 100% оплаты, 25.03</t>
  </si>
  <si>
    <t>авансировали 80</t>
  </si>
  <si>
    <t>Павел Савельев</t>
  </si>
  <si>
    <t>Дмитрий Ермилин</t>
  </si>
  <si>
    <t>Юрий Титов</t>
  </si>
  <si>
    <t>Devmark</t>
  </si>
  <si>
    <t>Sona Gevorgyan</t>
  </si>
  <si>
    <t>Ева</t>
  </si>
  <si>
    <t>чек на счет 12.03</t>
  </si>
  <si>
    <t>Yusuf Onurlu</t>
  </si>
  <si>
    <t>Дарья Гудвилл</t>
  </si>
  <si>
    <t>Pantheon</t>
  </si>
  <si>
    <t>инв от 14.02</t>
  </si>
  <si>
    <t>Ellen Lucia Sirekanian</t>
  </si>
  <si>
    <t>Guzel Evtushok</t>
  </si>
  <si>
    <t>QUBE Development</t>
  </si>
  <si>
    <t>инв от 28.02, получена 20.03</t>
  </si>
  <si>
    <t>Виктор Чесноков</t>
  </si>
  <si>
    <t>Орлова Марина</t>
  </si>
  <si>
    <t>Ксения Третьякова + CB + Анна</t>
  </si>
  <si>
    <t>инв от 05.03, получена 28.03</t>
  </si>
  <si>
    <t>Runazbanu</t>
  </si>
  <si>
    <t>Мухаммад Мехар</t>
  </si>
  <si>
    <t xml:space="preserve"> инв от 10.03</t>
  </si>
  <si>
    <t>авансировали 04.02 83%,</t>
  </si>
  <si>
    <t>Porwal Manesh</t>
  </si>
  <si>
    <t>инв от 14.03</t>
  </si>
  <si>
    <t xml:space="preserve">авансировали   </t>
  </si>
  <si>
    <t>Irina Karabut</t>
  </si>
  <si>
    <t>Meraas</t>
  </si>
  <si>
    <t>Melkonyan Gagik</t>
  </si>
  <si>
    <t>инвойс от 14.02</t>
  </si>
  <si>
    <t>Spasov Yordan Ivanov</t>
  </si>
  <si>
    <t>авансировали</t>
  </si>
  <si>
    <t>Areg Shahbazyan</t>
  </si>
  <si>
    <t>Sobha</t>
  </si>
  <si>
    <t>1,5 инв от 10.03, поступила 19.03, 4,5 инв от 17/03 поступила 27.03</t>
  </si>
  <si>
    <t>Yulia Tsando</t>
  </si>
  <si>
    <t>инв от 01.03, получено 18.03</t>
  </si>
  <si>
    <t>Pavel Khavik</t>
  </si>
  <si>
    <t>комиссия получена 01.03.25</t>
  </si>
  <si>
    <t>Малых Ростислав</t>
  </si>
  <si>
    <t>Невзоров Даниил</t>
  </si>
  <si>
    <t>РОП Света</t>
  </si>
  <si>
    <t>Imtiaz</t>
  </si>
  <si>
    <t>инв от 24.03, комис пришла 17.04</t>
  </si>
  <si>
    <t>Юрий Русов</t>
  </si>
  <si>
    <t>Palm Holding</t>
  </si>
  <si>
    <t>Евгений Воловик</t>
  </si>
  <si>
    <t xml:space="preserve">Павел   </t>
  </si>
  <si>
    <t>Рома Калгин</t>
  </si>
  <si>
    <t>Mashriq Elite</t>
  </si>
  <si>
    <t>София Соловьева</t>
  </si>
  <si>
    <t>чек, должны Роме</t>
  </si>
  <si>
    <t>Ольга Денисенко</t>
  </si>
  <si>
    <t>1ый 28.03, 2ой от 18.04</t>
  </si>
  <si>
    <t>Марина Жигульская и Артем Кобляков</t>
  </si>
  <si>
    <t>Князева Татьяна</t>
  </si>
  <si>
    <t>Ксения Третьякова + CB</t>
  </si>
  <si>
    <t>инв от 11.03</t>
  </si>
  <si>
    <t>инв от 13.03</t>
  </si>
  <si>
    <t>Яковлева Евгения</t>
  </si>
  <si>
    <t>аноним:)</t>
  </si>
  <si>
    <t>инв 3% от 26.03, поступила 08.04, 3% 15.04, 25.04 поступило</t>
  </si>
  <si>
    <t xml:space="preserve">Karine Safaryan </t>
  </si>
  <si>
    <t>инв от 07.04</t>
  </si>
  <si>
    <t>Инв 1 от 03.04, инв 2 от 07.04</t>
  </si>
  <si>
    <t>Vanik Hovhannisyan</t>
  </si>
  <si>
    <t>Ким Рита</t>
  </si>
  <si>
    <t>Дмитрий Орлов</t>
  </si>
  <si>
    <t>Anna Harutyunyan</t>
  </si>
  <si>
    <t>Mira</t>
  </si>
  <si>
    <t>Оксана Антонова</t>
  </si>
  <si>
    <t>Olesia Baranets</t>
  </si>
  <si>
    <t>Райт и Истомин Александр</t>
  </si>
  <si>
    <t>1ый пришло 02.07, 2ой инв от 08.08</t>
  </si>
  <si>
    <t>Ozturk</t>
  </si>
  <si>
    <t>Евгения (Турция)</t>
  </si>
  <si>
    <t>Нас Тайгер</t>
  </si>
  <si>
    <t>Empire Development</t>
  </si>
  <si>
    <t>Агарковы София и Иван</t>
  </si>
  <si>
    <t>Екатерина</t>
  </si>
  <si>
    <t>1ый от 18.04, пришло 25.04, 2ой от 04.07</t>
  </si>
  <si>
    <t>Parkhisenko Anastasiia</t>
  </si>
  <si>
    <t>Алена Лучникова</t>
  </si>
  <si>
    <t>Beyond Properties</t>
  </si>
  <si>
    <t>Viktoriia Shutova</t>
  </si>
  <si>
    <t>Алена Белоусова</t>
  </si>
  <si>
    <t>Александр Белоусов</t>
  </si>
  <si>
    <t xml:space="preserve">MGS development LLC </t>
  </si>
  <si>
    <t xml:space="preserve">Aleksandr Shutov </t>
  </si>
  <si>
    <t>Вера Московская</t>
  </si>
  <si>
    <t xml:space="preserve">Владимир </t>
  </si>
  <si>
    <t>Александр Осипов</t>
  </si>
  <si>
    <t>Денис Зиненко</t>
  </si>
  <si>
    <t>Ангелина Разумова</t>
  </si>
  <si>
    <t>LEOS</t>
  </si>
  <si>
    <t>2,5 от 23.04, 2ой от 30.04, пришло 13.05  и 16.06</t>
  </si>
  <si>
    <t>Элеонора Шамилова/Пашаев Герман</t>
  </si>
  <si>
    <t>Радик Погосян</t>
  </si>
  <si>
    <t>Nakheel</t>
  </si>
  <si>
    <t>Mammadzada Gulay</t>
  </si>
  <si>
    <t>Baraka</t>
  </si>
  <si>
    <t>Станислав Жуланов</t>
  </si>
  <si>
    <t>Владимир Салохин</t>
  </si>
  <si>
    <t>Leos</t>
  </si>
  <si>
    <t>половина пришла 11.08</t>
  </si>
  <si>
    <t>Golly Janne</t>
  </si>
  <si>
    <t>Evan</t>
  </si>
  <si>
    <t>Марк (фин отдел)</t>
  </si>
  <si>
    <t>7 мая проверить SPA застройщика</t>
  </si>
  <si>
    <t>Chernyshev Mikhail</t>
  </si>
  <si>
    <t>SEREZENTINOV OLEKSIY</t>
  </si>
  <si>
    <t>1ый пришло 02.07, 2ой инв от 11.08</t>
  </si>
  <si>
    <t>Rustamova Iroda</t>
  </si>
  <si>
    <t>Анастасия Храмова</t>
  </si>
  <si>
    <t>50% 20.06, 50% 12.08</t>
  </si>
  <si>
    <t>Марина Бигун</t>
  </si>
  <si>
    <t>Мария Козина</t>
  </si>
  <si>
    <t>DIFC</t>
  </si>
  <si>
    <t>Walker Andrew</t>
  </si>
  <si>
    <t>Шая</t>
  </si>
  <si>
    <t>2,5 инв от 18.08, вторая от 10.10</t>
  </si>
  <si>
    <t>EMAAR</t>
  </si>
  <si>
    <t>1ый 16.06, 2ой 18.07</t>
  </si>
  <si>
    <t>Загитова Клавдия</t>
  </si>
  <si>
    <t>вторая 24.10</t>
  </si>
  <si>
    <t>Al Asady Houda</t>
  </si>
  <si>
    <t>The Heart of Europe</t>
  </si>
  <si>
    <t>Abraham Manukyan</t>
  </si>
  <si>
    <t>Денис Тарло</t>
  </si>
  <si>
    <t>Ростислав Малых</t>
  </si>
  <si>
    <t>30.09/2025</t>
  </si>
  <si>
    <t>Сергей Барсуков</t>
  </si>
  <si>
    <t>Катя НБД</t>
  </si>
  <si>
    <t>Franz Berl</t>
  </si>
  <si>
    <t>пришло 20к 19.06</t>
  </si>
  <si>
    <t>Кузьменко Наталия</t>
  </si>
  <si>
    <t>Marquis</t>
  </si>
  <si>
    <t xml:space="preserve">Joby Mathew </t>
  </si>
  <si>
    <t>Steisha</t>
  </si>
  <si>
    <t xml:space="preserve">Mario Leontoglou </t>
  </si>
  <si>
    <t>Артем Королев</t>
  </si>
  <si>
    <t>Боря Батищев</t>
  </si>
  <si>
    <t>Наталия Абрамова</t>
  </si>
  <si>
    <t>11.6.2025</t>
  </si>
  <si>
    <t>Андрей Абрамов</t>
  </si>
  <si>
    <t xml:space="preserve">MERED </t>
  </si>
  <si>
    <t>TRUE</t>
  </si>
  <si>
    <t>14.6.2025</t>
  </si>
  <si>
    <t>Muradyan Gevorg</t>
  </si>
  <si>
    <t xml:space="preserve">Riskitillo </t>
  </si>
  <si>
    <t>Бекзод</t>
  </si>
  <si>
    <t>Алина шоба</t>
  </si>
  <si>
    <t>ZED CAPITAL</t>
  </si>
  <si>
    <t>один пришел 12.07</t>
  </si>
  <si>
    <t>Павел Михалев</t>
  </si>
  <si>
    <t>Олег Безручкин</t>
  </si>
  <si>
    <t>Александра Паневкина</t>
  </si>
  <si>
    <t xml:space="preserve">ALDAR </t>
  </si>
  <si>
    <t>Кленяева Екатерина</t>
  </si>
  <si>
    <t>Sakharbekova Janara</t>
  </si>
  <si>
    <t>Энжара</t>
  </si>
  <si>
    <t>Евгений Марченко</t>
  </si>
  <si>
    <t>Artem Gaidukov</t>
  </si>
  <si>
    <t>Щербинин Виктор</t>
  </si>
  <si>
    <t>Sothebys</t>
  </si>
  <si>
    <t xml:space="preserve">Ellington </t>
  </si>
  <si>
    <t>половинка пришла 12.09</t>
  </si>
  <si>
    <t>Карабут Серафим</t>
  </si>
  <si>
    <t>H&amp;H</t>
  </si>
  <si>
    <t>Arshak Asatryan</t>
  </si>
  <si>
    <t>Инга Ереван</t>
  </si>
  <si>
    <t>Гасимов Джалиль</t>
  </si>
  <si>
    <t>HMB</t>
  </si>
  <si>
    <t>Rakhimova Dilfuza</t>
  </si>
  <si>
    <t>Алина Шоба</t>
  </si>
  <si>
    <t>Галина Мюллер</t>
  </si>
  <si>
    <t>Даниил Невзоров</t>
  </si>
  <si>
    <t>половинка пришла 24.10</t>
  </si>
  <si>
    <t>Кристина Михалева</t>
  </si>
  <si>
    <t>Богданова Валерия</t>
  </si>
  <si>
    <t>Кочиев Вадим</t>
  </si>
  <si>
    <t>Хугаева Мадина</t>
  </si>
  <si>
    <t>Ксения Третьякова+CB</t>
  </si>
  <si>
    <t>Андрей Попов</t>
  </si>
  <si>
    <t>половинка пришла 24.10, второй от 05.12</t>
  </si>
  <si>
    <t>Olga Caraus</t>
  </si>
  <si>
    <t>ALDAR</t>
  </si>
  <si>
    <t>Samer Ibrahim</t>
  </si>
  <si>
    <t>Екатерина Спицына</t>
  </si>
  <si>
    <t>1,6% пришли 30.10, 20/02 2,4</t>
  </si>
  <si>
    <t>Eroge Charles</t>
  </si>
  <si>
    <t xml:space="preserve">Viktor Hordiiets </t>
  </si>
  <si>
    <t>Никита Петренко</t>
  </si>
  <si>
    <t xml:space="preserve">Ellington   </t>
  </si>
  <si>
    <t>Половинка пришла 25.10. вторая 14.01</t>
  </si>
  <si>
    <t>Mnatsakanyan Aram</t>
  </si>
  <si>
    <t xml:space="preserve">Uniestate   </t>
  </si>
  <si>
    <t xml:space="preserve">Meliksetyan Artavazd </t>
  </si>
  <si>
    <t>Tarrad Development</t>
  </si>
  <si>
    <t xml:space="preserve">ARAM MNATSAKANYAN </t>
  </si>
  <si>
    <t>5</t>
  </si>
  <si>
    <t xml:space="preserve">KAREN MNATSAKANYAN </t>
  </si>
  <si>
    <t>Vilen Grigoryan</t>
  </si>
  <si>
    <t>Noro Ереван</t>
  </si>
  <si>
    <t>Шейкина Любовь</t>
  </si>
  <si>
    <t>1,6 пришло 19.11. 2ой инв от 15.01 пришел 27.01</t>
  </si>
  <si>
    <t>Юлия Орбелян</t>
  </si>
  <si>
    <t>Alexey kutsenko</t>
  </si>
  <si>
    <t>Александр Туркин</t>
  </si>
  <si>
    <t>Citi Developers</t>
  </si>
  <si>
    <t>да, кэш 17.03.2026</t>
  </si>
  <si>
    <t>IAKUPOVA ILVINA</t>
  </si>
  <si>
    <t>Нелли Ереван</t>
  </si>
  <si>
    <t xml:space="preserve">Synergy Properties </t>
  </si>
  <si>
    <t>Анастасия Нечепоренко</t>
  </si>
  <si>
    <t>One Development</t>
  </si>
  <si>
    <t>GEVORG HOVHANNISYAN/RUZANNA CHAKHMAKHCHYAN</t>
  </si>
  <si>
    <t>Yalcin Faik Sumer</t>
  </si>
  <si>
    <t>Камила Евстегнеева</t>
  </si>
  <si>
    <t>1,6 пришло 22.11</t>
  </si>
  <si>
    <t>Dillshod Rustamov</t>
  </si>
  <si>
    <t>Константин Нестеров</t>
  </si>
  <si>
    <t>Citi Developer</t>
  </si>
  <si>
    <t>да, Кате криптой, кэш рубли + безнал Павел Галан, Козиной на счет</t>
  </si>
  <si>
    <t>Agulova Elina</t>
  </si>
  <si>
    <t>Мадин</t>
  </si>
  <si>
    <t>EDITION</t>
  </si>
  <si>
    <t>да, кэш 08.04.2026</t>
  </si>
  <si>
    <t>Vision Developments</t>
  </si>
  <si>
    <t>Diliara Kereeva</t>
  </si>
  <si>
    <t>Авагумян Лира</t>
  </si>
  <si>
    <t>1,6 пришло 09.12</t>
  </si>
  <si>
    <t xml:space="preserve">ISMAEL ALLACHI </t>
  </si>
  <si>
    <t>Диана 8%, 1% Тайгер</t>
  </si>
  <si>
    <t>Iman Developers</t>
  </si>
  <si>
    <t>GOLDSTEIN EITAN ARIEH</t>
  </si>
  <si>
    <t>1,6 пришло 09.12, без ват</t>
  </si>
  <si>
    <t>Daniel Veis</t>
  </si>
  <si>
    <t>Оля Личманова</t>
  </si>
  <si>
    <t>Шутов Александр</t>
  </si>
  <si>
    <t>Yahya Beik Khormizi</t>
  </si>
  <si>
    <t xml:space="preserve">Amir </t>
  </si>
  <si>
    <t>Vitalina BT Properties</t>
  </si>
  <si>
    <t>Waada Cascada-1</t>
  </si>
  <si>
    <t>Инв на 2,5 от 26.11 - оплата пришла 12.03, второй от 06.02</t>
  </si>
  <si>
    <t>Manish Chaudhary</t>
  </si>
  <si>
    <t>Karina</t>
  </si>
  <si>
    <t>Azizi</t>
  </si>
  <si>
    <t>1-23.01, 2-03.02</t>
  </si>
  <si>
    <t>Сеймур Ахмедов</t>
  </si>
  <si>
    <t>Козина</t>
  </si>
  <si>
    <t xml:space="preserve">Marquis </t>
  </si>
  <si>
    <t>Кочарян Женя</t>
  </si>
  <si>
    <t>Инга (70) ) Диана (6)</t>
  </si>
  <si>
    <t>Ереван</t>
  </si>
  <si>
    <t>2,5 пришло 16.02, второй инвойс выставлен 10.03, комиссия по второму инвойсу пришла 25.03.2026</t>
  </si>
  <si>
    <t>Маркелов Дмитрий</t>
  </si>
  <si>
    <t>CB (Radik)</t>
  </si>
  <si>
    <t>1,6 пришло 11.02</t>
  </si>
  <si>
    <t>Диана Шнейдер</t>
  </si>
  <si>
    <t>Golos</t>
  </si>
  <si>
    <t>Damac</t>
  </si>
  <si>
    <t>Victoria Semenova</t>
  </si>
  <si>
    <t>36986+36667+37346 пришло 27.02, 37106 пришло 14.03</t>
  </si>
  <si>
    <t>Ajamoghlyan Andranik</t>
  </si>
  <si>
    <t>City Development</t>
  </si>
  <si>
    <t>Паневской Александр</t>
  </si>
  <si>
    <t>Козина Ксюша 8%</t>
  </si>
  <si>
    <t>Мацко Алексей</t>
  </si>
  <si>
    <t>заплатили 10к, остальное в январе</t>
  </si>
  <si>
    <t>Крупин Михаил</t>
  </si>
  <si>
    <t>SAAS</t>
  </si>
  <si>
    <t>Александр Николенко</t>
  </si>
  <si>
    <t>Iana Fingerman</t>
  </si>
  <si>
    <t>Яна</t>
  </si>
  <si>
    <t>Manomi Anna Perera</t>
  </si>
  <si>
    <t>РОП Света (5) Эльвира (2)</t>
  </si>
  <si>
    <t>2,5% пришло 30.01, второй от 09.03 выставлен. 26.03 второй пришел</t>
  </si>
  <si>
    <t>да, 15000 в счет зп + кэш 28.03.2026</t>
  </si>
  <si>
    <t>Aleksei Matsko</t>
  </si>
  <si>
    <t>Анастасия Гурева</t>
  </si>
  <si>
    <t>3% пришло 04.02, 3% 18.02</t>
  </si>
  <si>
    <t>Курилина Ольга</t>
  </si>
  <si>
    <t xml:space="preserve">Ирина   </t>
  </si>
  <si>
    <t>Зарина Шоба</t>
  </si>
  <si>
    <t>инв на 1,6% пришли 03.03</t>
  </si>
  <si>
    <t>Горохова Наталия</t>
  </si>
  <si>
    <t>да, выдали рубли через финку, возврат Артем + перевод Роме 23.03</t>
  </si>
  <si>
    <t>Муравьева Юлия</t>
  </si>
  <si>
    <t>Хади</t>
  </si>
  <si>
    <t>Нашатыркина Наталия</t>
  </si>
  <si>
    <t>Ирина Филимонова</t>
  </si>
  <si>
    <t>инв на 1,6% пришли 16.03</t>
  </si>
  <si>
    <t>Anahit Ashikyan</t>
  </si>
  <si>
    <t>Артемьев Ярослав</t>
  </si>
  <si>
    <t>2,5 от 20.02 - пришли 12.03</t>
  </si>
  <si>
    <t>Hyams Elena</t>
  </si>
  <si>
    <t>Юрий (50) Света (5)</t>
  </si>
  <si>
    <t>да, Дане 700 на счет, 12000 в счет зп, Юрию безнал</t>
  </si>
  <si>
    <t>Сергей Лавров</t>
  </si>
  <si>
    <t>MAG</t>
  </si>
  <si>
    <t>Jose Pablo</t>
  </si>
  <si>
    <t>Абдуллаев Руслан</t>
  </si>
  <si>
    <t>Павел Чуркин</t>
  </si>
  <si>
    <t>Зубкевич Сергей</t>
  </si>
  <si>
    <t>BT PROPERTIES</t>
  </si>
  <si>
    <t>2,5 пришло 12.03</t>
  </si>
  <si>
    <t>Nadin Andrei</t>
  </si>
  <si>
    <t>Emilia</t>
  </si>
  <si>
    <t>Egore Charles</t>
  </si>
  <si>
    <t>Nikita</t>
  </si>
  <si>
    <t>Select Group</t>
  </si>
  <si>
    <t>да, выдали финка, возврат Артем + перевод Роме 23.03</t>
  </si>
  <si>
    <t>Сергей Драгунов</t>
  </si>
  <si>
    <t>Estadel</t>
  </si>
  <si>
    <t>Alnair</t>
  </si>
  <si>
    <t>Kulish Yuliia</t>
  </si>
  <si>
    <t>Счет на 2,5 пришли 16.03</t>
  </si>
  <si>
    <t>Светоносова Татьяна</t>
  </si>
  <si>
    <t>Романова Валентина</t>
  </si>
  <si>
    <t>РОП Света (5) Эльвира (2) Настя (1)</t>
  </si>
  <si>
    <t>Gashev Azamat</t>
  </si>
  <si>
    <t>Заур (Ереван)</t>
  </si>
  <si>
    <t>Ереван (12) Диана (6)</t>
  </si>
  <si>
    <t>Radiant Real Estate</t>
  </si>
  <si>
    <t>Иван Иванченко</t>
  </si>
  <si>
    <t>Ксения Козина</t>
  </si>
  <si>
    <t>CG Developers</t>
  </si>
  <si>
    <t>пришла сумма без ват - 179820</t>
  </si>
  <si>
    <t>да, выплачена 02.04 кэш в офисе</t>
  </si>
  <si>
    <t>Vuorio Max</t>
  </si>
  <si>
    <t>да, выплачена на счет 18.03.2026</t>
  </si>
  <si>
    <t>Всеволод Засорин</t>
  </si>
  <si>
    <t>IMTIAZ</t>
  </si>
  <si>
    <t>да, выплачена кэш 30000 10.04 + перевод 09.04</t>
  </si>
  <si>
    <t>Хаируллин Ленар</t>
  </si>
  <si>
    <t>Гузаль</t>
  </si>
  <si>
    <t>Al Dhana</t>
  </si>
  <si>
    <t>Марина Гаврилова</t>
  </si>
  <si>
    <t>Козина Ксюша (8%)</t>
  </si>
  <si>
    <t>GFS Developments</t>
  </si>
  <si>
    <t>Кашина Алина</t>
  </si>
  <si>
    <t>пришли 28255</t>
  </si>
  <si>
    <t>да, рубли мск 07.04.2026</t>
  </si>
  <si>
    <t>GURINDER SINGH</t>
  </si>
  <si>
    <t>Pedersen Amir</t>
  </si>
  <si>
    <t>Irina Mokhamed</t>
  </si>
  <si>
    <t>Валерия Ярмолик</t>
  </si>
  <si>
    <t>Krips Gennadiy</t>
  </si>
  <si>
    <t>Руслан Абдуллаев</t>
  </si>
  <si>
    <t xml:space="preserve">Eagle Hills </t>
  </si>
  <si>
    <t>счет на 1,5%</t>
  </si>
  <si>
    <t>Шахович Иван</t>
  </si>
  <si>
    <t>Александра (CB)</t>
  </si>
  <si>
    <t>Al Sabbagh Farid</t>
  </si>
  <si>
    <t>Алла</t>
  </si>
  <si>
    <t>Hrachykha Tatsiana</t>
  </si>
  <si>
    <t>Kozitsyn Artem</t>
  </si>
  <si>
    <t>Константин RED</t>
  </si>
  <si>
    <t>Koshiy Denis</t>
  </si>
  <si>
    <t>Shaimergenova Assel</t>
  </si>
  <si>
    <t>Дина</t>
  </si>
  <si>
    <t>Avsianskaia Tanya</t>
  </si>
  <si>
    <t>Andreasyan Sarik</t>
  </si>
  <si>
    <t>Зайцев Андрей</t>
  </si>
  <si>
    <t>Matyskin Evgenii</t>
  </si>
  <si>
    <t>Ohana Development</t>
  </si>
  <si>
    <t>Popov Evgenii</t>
  </si>
  <si>
    <t>Юля Андреева</t>
  </si>
  <si>
    <t>Iliushkin Aleksei &amp; Iliushkina Olga</t>
  </si>
  <si>
    <t>Aivazian Karen</t>
  </si>
  <si>
    <t>Алена Монолит</t>
  </si>
  <si>
    <t>Gayane Yuzbashyan</t>
  </si>
  <si>
    <t>Варда</t>
  </si>
  <si>
    <t>Sagradian Zakhar</t>
  </si>
  <si>
    <t>РОП Света (5) Настя (1)</t>
  </si>
  <si>
    <r>
      <rPr>
        <rFont val="Verdana"/>
        <color rgb="FF2C2C4D"/>
      </rPr>
      <t>70% на счет</t>
    </r>
  </si>
  <si>
    <r>
      <rPr>
        <rFont val="Verdana"/>
        <color rgb="FF2C2C4D"/>
      </rPr>
      <t>70% на счет</t>
    </r>
  </si>
  <si>
    <r>
      <rPr>
        <rFont val="Verdana"/>
        <color rgb="FF2C2C4D"/>
      </rPr>
      <t>Ольга Личманова</t>
    </r>
  </si>
  <si>
    <r>
      <rPr>
        <rFont val="Verdana"/>
        <color theme="1"/>
      </rPr>
      <t xml:space="preserve">авансировали 25185,21 </t>
    </r>
    <r>
      <rPr>
        <rFont val="Verdana"/>
        <color rgb="FFFF0000"/>
      </rPr>
      <t>должны</t>
    </r>
  </si>
  <si>
    <t>Партнер</t>
  </si>
  <si>
    <t>Количество сделок</t>
  </si>
  <si>
    <t>Комментарий</t>
  </si>
  <si>
    <t>offplan</t>
  </si>
  <si>
    <t>Andrei Zaitsev</t>
  </si>
  <si>
    <t>сопровождение</t>
  </si>
  <si>
    <t>Павел</t>
  </si>
  <si>
    <t>Pavel Kudrishov</t>
  </si>
  <si>
    <t>Victoriya Burmakina</t>
  </si>
  <si>
    <t>Natalia Bunkova</t>
  </si>
  <si>
    <t>Settler HH</t>
  </si>
  <si>
    <t>Aleksandr Postolatii</t>
  </si>
  <si>
    <t>Alex Osipov</t>
  </si>
  <si>
    <t>Julia Nicholson</t>
  </si>
  <si>
    <t>Milena Nikolaeva</t>
  </si>
  <si>
    <t>Alena Belousova</t>
  </si>
  <si>
    <t>Alena Komova</t>
  </si>
  <si>
    <t>Dmitry B</t>
  </si>
  <si>
    <t>Levan</t>
  </si>
  <si>
    <t>Nikita Shalko</t>
  </si>
  <si>
    <t>Olga Lichmanova</t>
  </si>
  <si>
    <t>Olga Prokhorova</t>
  </si>
  <si>
    <t>Vladimir Salokhin</t>
  </si>
  <si>
    <t xml:space="preserve"> Bekhzodbek</t>
  </si>
  <si>
    <t>Маks ENSO Zukhurov</t>
  </si>
  <si>
    <t>ALexey Klykov</t>
  </si>
  <si>
    <t>Anastasia partner</t>
  </si>
  <si>
    <t>Andrew Tkachenko</t>
  </si>
  <si>
    <t>Diana Stepina</t>
  </si>
  <si>
    <t>Dmitry Orlov</t>
  </si>
  <si>
    <t>Evgenia Kozevnikova</t>
  </si>
  <si>
    <t>Hala Ali</t>
  </si>
  <si>
    <t>Iaroslav Gnatiuk</t>
  </si>
  <si>
    <t>Ivan Filatov</t>
  </si>
  <si>
    <t xml:space="preserve">Ivan Lon </t>
  </si>
  <si>
    <t>Julia INCO (ceo)</t>
  </si>
  <si>
    <t>Julia Voronova</t>
  </si>
  <si>
    <t xml:space="preserve">Nikita Petrenko </t>
  </si>
  <si>
    <t>Olga Maximova</t>
  </si>
  <si>
    <t>Vladimir Barinov</t>
  </si>
  <si>
    <t>Zarina</t>
  </si>
  <si>
    <t xml:space="preserve"> </t>
  </si>
  <si>
    <t>Отложено на ENBD</t>
  </si>
  <si>
    <t>зп</t>
  </si>
  <si>
    <t>Офис</t>
  </si>
  <si>
    <t>EDB</t>
  </si>
  <si>
    <t>ENBD</t>
  </si>
  <si>
    <t>Наличные</t>
  </si>
  <si>
    <t>Commercial Brokers</t>
  </si>
  <si>
    <t>начало периода</t>
  </si>
  <si>
    <t>долг компании</t>
  </si>
  <si>
    <t>Обнал маркетинг</t>
  </si>
  <si>
    <t>чек Дануб Айназик</t>
  </si>
  <si>
    <t>3 сделки Катя ВРС AMBS REAL ESTATE</t>
  </si>
  <si>
    <t>вторичка Мария</t>
  </si>
  <si>
    <t>зарплата</t>
  </si>
  <si>
    <t xml:space="preserve">зарплата </t>
  </si>
  <si>
    <t>долг компании перед Никитой</t>
  </si>
  <si>
    <t>чек Дануб Катя врс</t>
  </si>
  <si>
    <t>VAT 3 сделки Катя ВРС AMBS REAL ESTATE</t>
  </si>
  <si>
    <t>Артем вернул зп</t>
  </si>
  <si>
    <t>Боря</t>
  </si>
  <si>
    <t>Роме по агентскому договору</t>
  </si>
  <si>
    <t>перевели ENBD VAT сделки Дануб</t>
  </si>
  <si>
    <t>VAT 2 сделки Дануб</t>
  </si>
  <si>
    <t>выдача наличных TownX Абдурахман</t>
  </si>
  <si>
    <t>оплата услуг бухгалтеров с лицензией</t>
  </si>
  <si>
    <t>TownX Абдурахман</t>
  </si>
  <si>
    <t xml:space="preserve">Ивану рублями Segrex </t>
  </si>
  <si>
    <t>перевод Роме</t>
  </si>
  <si>
    <t>VAT TownX Абдурахман</t>
  </si>
  <si>
    <t>Кате врс криптой за Дануб и три сд</t>
  </si>
  <si>
    <t xml:space="preserve">TownX Абдурахман выплата комиссии </t>
  </si>
  <si>
    <t>возврат аванса Дануб Айназик</t>
  </si>
  <si>
    <t>зарплата Артем</t>
  </si>
  <si>
    <t>зарплата Гульноза</t>
  </si>
  <si>
    <t>зп Вова роп + Настя +Евгения</t>
  </si>
  <si>
    <t>зарплата Артем Зубков (возврат нал)</t>
  </si>
  <si>
    <t>зарплата CB+Ксюша Рублева</t>
  </si>
  <si>
    <t>ИТОГО</t>
  </si>
  <si>
    <t>СЕНТЯБРЬ 2024</t>
  </si>
  <si>
    <t>чек Swiss</t>
  </si>
  <si>
    <t>bayut</t>
  </si>
  <si>
    <t>Боря estate</t>
  </si>
  <si>
    <t>Битрикс</t>
  </si>
  <si>
    <t>WIFI</t>
  </si>
  <si>
    <t>сим карта Кристина</t>
  </si>
  <si>
    <t>авансировал Ярослав от Осипова</t>
  </si>
  <si>
    <t>выплата комиссии swiss (на счет) Павел Галан</t>
  </si>
  <si>
    <t>инвойс бухгалтера</t>
  </si>
  <si>
    <t>Сопровождение Алена</t>
  </si>
  <si>
    <t>амо на 6 мес</t>
  </si>
  <si>
    <t>основная сим карта</t>
  </si>
  <si>
    <t>авансировал Виктор от Левана</t>
  </si>
  <si>
    <t>Перевод Никите финка</t>
  </si>
  <si>
    <t>инвойс genie map</t>
  </si>
  <si>
    <t>Сопровождение Юля</t>
  </si>
  <si>
    <t>Клыкову за Ивана</t>
  </si>
  <si>
    <t>авансирование Игорь Прокин</t>
  </si>
  <si>
    <t>чек</t>
  </si>
  <si>
    <t>Сопровождение Алены</t>
  </si>
  <si>
    <t xml:space="preserve">авансирование </t>
  </si>
  <si>
    <t>NSHAMA</t>
  </si>
  <si>
    <t>оплата VAT</t>
  </si>
  <si>
    <t>обслуживание a/с</t>
  </si>
  <si>
    <t>TownX комиссия Абдурахман</t>
  </si>
  <si>
    <t>инвойс уборка</t>
  </si>
  <si>
    <t>VAT TownX комиссия Абдурахман</t>
  </si>
  <si>
    <t>оплата телефонов</t>
  </si>
  <si>
    <t>в теч месяца</t>
  </si>
  <si>
    <t>оплата картой</t>
  </si>
  <si>
    <t>Выплата комиссии Игорь Прокин Obj1</t>
  </si>
  <si>
    <t>чек DECA 2,5%</t>
  </si>
  <si>
    <t>Ксении Козиной за swiss 8%</t>
  </si>
  <si>
    <t>чек Imtiaz вторая часть комиссии</t>
  </si>
  <si>
    <t>Даниил Гулиев</t>
  </si>
  <si>
    <t>инвойс GOOD STAY HOLIDAY HOMES</t>
  </si>
  <si>
    <t>инвойс property finder</t>
  </si>
  <si>
    <t>от Маши Васильевой долг</t>
  </si>
  <si>
    <t>ОКТЯБРЬ 2024</t>
  </si>
  <si>
    <t>за сопровожд аренды вайтвил Юля</t>
  </si>
  <si>
    <t>от Зубкова за сделку Кичукова</t>
  </si>
  <si>
    <t>инста</t>
  </si>
  <si>
    <t>тайгер за врс</t>
  </si>
  <si>
    <t>проперти файнд</t>
  </si>
  <si>
    <t>Юле роп за сделку Алены</t>
  </si>
  <si>
    <t>корп симкм</t>
  </si>
  <si>
    <t>cleaning services invoice</t>
  </si>
  <si>
    <t>комиссия +топап за сделку Алены</t>
  </si>
  <si>
    <t>страховка Вовы</t>
  </si>
  <si>
    <t>Артем Долгачев</t>
  </si>
  <si>
    <t>genie map invoice</t>
  </si>
  <si>
    <t>за сделку вторичку  Сюткин</t>
  </si>
  <si>
    <t>поездка с кл</t>
  </si>
  <si>
    <t>инврйс бухгалтера</t>
  </si>
  <si>
    <t>bayut invoice</t>
  </si>
  <si>
    <t>сопровожд сеттлер</t>
  </si>
  <si>
    <t>Артем зп</t>
  </si>
  <si>
    <t>Комиссия HH Nika Bikikhodze</t>
  </si>
  <si>
    <t>сделка Артема</t>
  </si>
  <si>
    <t>Вове Салохину</t>
  </si>
  <si>
    <t>VAT HH</t>
  </si>
  <si>
    <t xml:space="preserve">долг Зубков </t>
  </si>
  <si>
    <t>Салохину Вове</t>
  </si>
  <si>
    <t>Артем легализация диплома</t>
  </si>
  <si>
    <t>инвойс ringstar</t>
  </si>
  <si>
    <t>Артем долг за инсту</t>
  </si>
  <si>
    <t>транио комиссия</t>
  </si>
  <si>
    <t>Иван (блонди Тим_ аванс</t>
  </si>
  <si>
    <t>инвойс m and i</t>
  </si>
  <si>
    <t>оплата офиса</t>
  </si>
  <si>
    <t>вывод Никите</t>
  </si>
  <si>
    <t>pmg design invoice</t>
  </si>
  <si>
    <t xml:space="preserve">чек </t>
  </si>
  <si>
    <t>Комиссия HH Татарников</t>
  </si>
  <si>
    <t>комиссия nshama</t>
  </si>
  <si>
    <t>VAT HH Татарников</t>
  </si>
  <si>
    <t>мухамад</t>
  </si>
  <si>
    <t>вывод Роме</t>
  </si>
  <si>
    <t>от Маши Васильевой</t>
  </si>
  <si>
    <t>комиссия альдар</t>
  </si>
  <si>
    <t>НОЯБРЬ 2024</t>
  </si>
  <si>
    <t>оплата корп симки</t>
  </si>
  <si>
    <t>водитель для Никиты</t>
  </si>
  <si>
    <t>водитель для клиентов</t>
  </si>
  <si>
    <t>водитель Дани</t>
  </si>
  <si>
    <t>поездка в абу-даби</t>
  </si>
  <si>
    <t>Другие доходы Real Estate</t>
  </si>
  <si>
    <t>Сумма, AED</t>
  </si>
  <si>
    <t>откат Машхур, менеджер Tiger</t>
  </si>
  <si>
    <t>энтони</t>
  </si>
  <si>
    <t>сделка по вторичке</t>
  </si>
  <si>
    <t>плюс</t>
  </si>
  <si>
    <t>сопровождение вторички партнера</t>
  </si>
  <si>
    <t>Гульноза клала в кассу</t>
  </si>
  <si>
    <t>сделка Гульнозы по коммерции</t>
  </si>
  <si>
    <t>остаток 3200 usdt</t>
  </si>
  <si>
    <t>сопровождение вторички Саша Осипов</t>
  </si>
  <si>
    <t>есть, забирал энтони</t>
  </si>
  <si>
    <t>сопровождение (Алена от Ильи)</t>
  </si>
  <si>
    <t>гульноза клала в ящик</t>
  </si>
  <si>
    <t>сопровождение вторички</t>
  </si>
  <si>
    <t>гульноза клала 11600, остаток7600</t>
  </si>
  <si>
    <t>сопровождение (сделка Юли)</t>
  </si>
  <si>
    <t>у нас на счету</t>
  </si>
  <si>
    <t>Вторичка Артема Зубкова</t>
  </si>
  <si>
    <t>Принял Артем Герасимов</t>
  </si>
  <si>
    <t>Сопровождение Максим Сетлерс</t>
  </si>
  <si>
    <t>Сопровождение Нелли</t>
  </si>
  <si>
    <t>Сопровождение</t>
  </si>
  <si>
    <t>за аренду</t>
  </si>
  <si>
    <t>за аренду Никиты</t>
  </si>
  <si>
    <t>Вторичка от Марии Васильевой</t>
  </si>
  <si>
    <t>Сделки сотрудников</t>
  </si>
  <si>
    <t>Настя закрыла компанию своему клиенту</t>
  </si>
  <si>
    <t>РЕФЕРАЛ</t>
  </si>
  <si>
    <t>УСЛОВИЯ</t>
  </si>
  <si>
    <t>БРОКЕР</t>
  </si>
  <si>
    <t>25% от дохода компании</t>
  </si>
  <si>
    <t>Аделина</t>
  </si>
  <si>
    <t>Левон</t>
  </si>
  <si>
    <t>Зимин Сергей</t>
  </si>
  <si>
    <t>нет</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</si>
</sst>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
    <numFmt numFmtId="166" formatCode="dd.mm.yyyy"/>
    <numFmt numFmtId="167" formatCode="d.m"/>
  </numFmts>
  <fonts count="24">
    <font>
      <sz val="10.0"/>
      <color rgb="FF000000"/>
      <name val="Verdana"/>
      <scheme val="minor"/>
    </font>
    <font>
      <b/>
      <sz val="13.0"/>
      <color theme="1"/>
      <name val="Verdana"/>
      <scheme val="minor"/>
    </font>
    <font/>
    <font>
      <b/>
      <color theme="1"/>
      <name val="Verdana"/>
      <scheme val="minor"/>
    </font>
    <font>
      <color theme="1"/>
      <name val="Verdana"/>
      <scheme val="minor"/>
    </font>
    <font>
      <color rgb="FF2C2C4D"/>
      <name val="Verdana"/>
    </font>
    <font>
      <sz val="8.0"/>
      <color theme="1"/>
      <name val="Verdana"/>
      <scheme val="minor"/>
    </font>
    <font>
      <color rgb="FF2C2C4D"/>
      <name val="Arial"/>
    </font>
    <font>
      <b/>
      <color theme="1"/>
      <name val="Verdana"/>
    </font>
    <font>
      <color theme="1"/>
      <name val="Verdana"/>
    </font>
    <font>
      <sz val="6.0"/>
      <color theme="1"/>
      <name val="Verdana"/>
      <scheme val="minor"/>
    </font>
    <font>
      <sz val="6.0"/>
      <color rgb="FFFF0000"/>
      <name val="Verdana"/>
      <scheme val="minor"/>
    </font>
    <font>
      <color rgb="FFFF0000"/>
      <name val="Verdana"/>
      <scheme val="minor"/>
    </font>
    <font>
      <sz val="7.0"/>
      <color theme="1"/>
      <name val="Verdana"/>
      <scheme val="minor"/>
    </font>
    <font>
      <color rgb="FF434343"/>
      <name val="Verdana"/>
    </font>
    <font>
      <color theme="1"/>
      <name val="Arial"/>
    </font>
    <font>
      <b/>
      <color rgb="FF434343"/>
      <name val="Verdana"/>
    </font>
    <font>
      <color rgb="FF000000"/>
      <name val="Verdana"/>
      <scheme val="minor"/>
    </font>
    <font>
      <color rgb="FF434343"/>
      <name val="Roboto"/>
    </font>
    <font>
      <color rgb="FF434343"/>
      <name val="Arial"/>
    </font>
    <font>
      <color theme="1"/>
      <name val="Roboto"/>
    </font>
    <font>
      <sz val="11.0"/>
      <color theme="1"/>
      <name val="Arial"/>
    </font>
    <font>
      <color rgb="FF000000"/>
      <name val="Verdana"/>
    </font>
    <font>
      <b/>
      <sz val="12.0"/>
      <color theme="1"/>
      <name val="Verdana"/>
      <scheme val="minor"/>
    </font>
  </fonts>
  <fills count="13">
    <fill>
      <patternFill patternType="none"/>
    </fill>
    <fill>
      <patternFill patternType="lightGray"/>
    </fill>
    <fill>
      <patternFill patternType="solid">
        <fgColor rgb="FFCFE2F3"/>
        <bgColor rgb="FFCFE2F3"/>
      </patternFill>
    </fill>
    <fill>
      <patternFill patternType="solid">
        <fgColor rgb="FF8989EB"/>
        <bgColor rgb="FF8989EB"/>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FF0000"/>
        <bgColor rgb="FFFF0000"/>
      </patternFill>
    </fill>
    <fill>
      <patternFill patternType="solid">
        <fgColor rgb="FFF6F8F9"/>
        <bgColor rgb="FFF6F8F9"/>
      </patternFill>
    </fill>
    <fill>
      <patternFill patternType="solid">
        <fgColor rgb="FFEA9999"/>
        <bgColor rgb="FFEA9999"/>
      </patternFill>
    </fill>
    <fill>
      <patternFill patternType="solid">
        <fgColor rgb="FFD0E0E3"/>
        <bgColor rgb="FFD0E0E3"/>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3" fontId="2" numFmtId="0" xfId="0" applyBorder="1" applyFill="1" applyFont="1"/>
    <xf borderId="3" fillId="4" fontId="3" numFmtId="0" xfId="0" applyAlignment="1" applyBorder="1" applyFill="1" applyFont="1">
      <alignment readingOrder="0"/>
    </xf>
    <xf borderId="3" fillId="4" fontId="4" numFmtId="0" xfId="0" applyAlignment="1" applyBorder="1" applyFont="1">
      <alignment readingOrder="0"/>
    </xf>
    <xf borderId="3" fillId="5" fontId="4" numFmtId="0" xfId="0" applyAlignment="1" applyBorder="1" applyFill="1" applyFont="1">
      <alignment readingOrder="0"/>
    </xf>
    <xf borderId="3" fillId="4" fontId="4" numFmtId="0" xfId="0" applyAlignment="1" applyBorder="1" applyFont="1">
      <alignment readingOrder="0" shrinkToFit="0" wrapText="1"/>
    </xf>
    <xf borderId="3" fillId="4" fontId="5" numFmtId="0" xfId="0" applyAlignment="1" applyBorder="1" applyFont="1">
      <alignment horizontal="left" readingOrder="0"/>
    </xf>
    <xf borderId="3" fillId="4" fontId="4" numFmtId="0" xfId="0" applyBorder="1" applyFont="1"/>
    <xf borderId="3" fillId="4" fontId="6" numFmtId="0" xfId="0" applyAlignment="1" applyBorder="1" applyFont="1">
      <alignment readingOrder="0" shrinkToFit="0" wrapText="1"/>
    </xf>
    <xf borderId="3" fillId="4" fontId="6" numFmtId="0" xfId="0" applyAlignment="1" applyBorder="1" applyFont="1">
      <alignment readingOrder="0"/>
    </xf>
    <xf borderId="3" fillId="4" fontId="3" numFmtId="0" xfId="0" applyBorder="1" applyFont="1"/>
    <xf borderId="3" fillId="5" fontId="3" numFmtId="0" xfId="0" applyAlignment="1" applyBorder="1" applyFont="1">
      <alignment readingOrder="0"/>
    </xf>
    <xf borderId="0" fillId="4" fontId="5" numFmtId="0" xfId="0" applyAlignment="1" applyFont="1">
      <alignment horizontal="left" readingOrder="0"/>
    </xf>
    <xf borderId="4" fillId="3" fontId="2" numFmtId="0" xfId="0" applyBorder="1" applyFont="1"/>
    <xf borderId="3" fillId="4" fontId="3" numFmtId="0" xfId="0" applyAlignment="1" applyBorder="1" applyFont="1">
      <alignment horizontal="center" readingOrder="0"/>
    </xf>
    <xf borderId="3" fillId="4" fontId="4" numFmtId="164" xfId="0" applyAlignment="1" applyBorder="1" applyFont="1" applyNumberFormat="1">
      <alignment horizontal="center" readingOrder="0"/>
    </xf>
    <xf borderId="3" fillId="4" fontId="4" numFmtId="0" xfId="0" applyAlignment="1" applyBorder="1" applyFont="1">
      <alignment horizontal="left" readingOrder="0"/>
    </xf>
    <xf borderId="3" fillId="4" fontId="4" numFmtId="0" xfId="0" applyAlignment="1" applyBorder="1" applyFont="1">
      <alignment horizontal="center" readingOrder="0"/>
    </xf>
    <xf borderId="0" fillId="0" fontId="4" numFmtId="0" xfId="0" applyAlignment="1" applyFont="1">
      <alignment horizontal="left" readingOrder="0"/>
    </xf>
    <xf borderId="1" fillId="2" fontId="3" numFmtId="0" xfId="0" applyAlignment="1" applyBorder="1" applyFont="1">
      <alignment readingOrder="0"/>
    </xf>
    <xf borderId="2" fillId="0" fontId="2" numFmtId="0" xfId="0" applyBorder="1" applyFont="1"/>
    <xf borderId="3" fillId="2" fontId="3" numFmtId="0" xfId="0" applyAlignment="1" applyBorder="1" applyFont="1">
      <alignment horizontal="center"/>
    </xf>
    <xf borderId="0" fillId="6" fontId="7" numFmtId="164" xfId="0" applyAlignment="1" applyFill="1" applyFont="1" applyNumberFormat="1">
      <alignment horizontal="center" readingOrder="0"/>
    </xf>
    <xf borderId="3" fillId="7" fontId="8" numFmtId="164" xfId="0" applyAlignment="1" applyBorder="1" applyFill="1" applyFont="1" applyNumberFormat="1">
      <alignment horizontal="center" vertical="bottom"/>
    </xf>
    <xf borderId="3" fillId="7" fontId="8" numFmtId="0" xfId="0" applyAlignment="1" applyBorder="1" applyFont="1">
      <alignment horizontal="center" readingOrder="0" vertical="bottom"/>
    </xf>
    <xf borderId="3" fillId="7" fontId="8" numFmtId="164" xfId="0" applyAlignment="1" applyBorder="1" applyFont="1" applyNumberFormat="1">
      <alignment vertical="bottom"/>
    </xf>
    <xf borderId="3" fillId="7" fontId="8" numFmtId="0" xfId="0" applyAlignment="1" applyBorder="1" applyFont="1">
      <alignment horizontal="center" vertical="bottom"/>
    </xf>
    <xf borderId="3" fillId="7" fontId="8" numFmtId="4" xfId="0" applyAlignment="1" applyBorder="1" applyFont="1" applyNumberFormat="1">
      <alignment horizontal="center" shrinkToFit="0" vertical="bottom" wrapText="1"/>
    </xf>
    <xf borderId="3" fillId="7" fontId="8" numFmtId="0" xfId="0" applyAlignment="1" applyBorder="1" applyFont="1">
      <alignment horizontal="center" shrinkToFit="0" vertical="bottom" wrapText="1"/>
    </xf>
    <xf borderId="3" fillId="7" fontId="8" numFmtId="4" xfId="0" applyAlignment="1" applyBorder="1" applyFont="1" applyNumberFormat="1">
      <alignment horizontal="center" readingOrder="0" shrinkToFit="0" vertical="bottom" wrapText="1"/>
    </xf>
    <xf borderId="3" fillId="7" fontId="8" numFmtId="0" xfId="0" applyAlignment="1" applyBorder="1" applyFont="1">
      <alignment horizontal="center" readingOrder="0" shrinkToFit="0" vertical="bottom" wrapText="1"/>
    </xf>
    <xf borderId="3" fillId="7" fontId="9" numFmtId="0" xfId="0" applyAlignment="1" applyBorder="1" applyFont="1">
      <alignment horizontal="center" readingOrder="0" shrinkToFit="0" vertical="bottom" wrapText="1"/>
    </xf>
    <xf borderId="0" fillId="0" fontId="4" numFmtId="0" xfId="0" applyAlignment="1" applyFont="1">
      <alignment readingOrder="0"/>
    </xf>
    <xf borderId="0" fillId="6" fontId="5" numFmtId="164" xfId="0" applyAlignment="1" applyFont="1" applyNumberFormat="1">
      <alignment horizontal="center" readingOrder="0"/>
    </xf>
    <xf borderId="3" fillId="6" fontId="4" numFmtId="164" xfId="0" applyAlignment="1" applyBorder="1" applyFont="1" applyNumberFormat="1">
      <alignment horizontal="center" readingOrder="0"/>
    </xf>
    <xf borderId="3" fillId="6" fontId="4" numFmtId="164" xfId="0" applyAlignment="1" applyBorder="1" applyFont="1" applyNumberFormat="1">
      <alignment horizontal="left" readingOrder="0"/>
    </xf>
    <xf borderId="3" fillId="6" fontId="4" numFmtId="0" xfId="0" applyAlignment="1" applyBorder="1" applyFont="1">
      <alignment horizontal="left" readingOrder="0"/>
    </xf>
    <xf borderId="3" fillId="6" fontId="4" numFmtId="4" xfId="0" applyAlignment="1" applyBorder="1" applyFont="1" applyNumberFormat="1">
      <alignment horizontal="center" readingOrder="0"/>
    </xf>
    <xf borderId="3" fillId="6" fontId="4" numFmtId="0" xfId="0" applyAlignment="1" applyBorder="1" applyFont="1">
      <alignment horizontal="center" readingOrder="0"/>
    </xf>
    <xf borderId="3" fillId="6" fontId="3" numFmtId="4" xfId="0" applyAlignment="1" applyBorder="1" applyFont="1" applyNumberFormat="1">
      <alignment horizontal="center" readingOrder="0"/>
    </xf>
    <xf borderId="3" fillId="6" fontId="3" numFmtId="0" xfId="0" applyAlignment="1" applyBorder="1" applyFont="1">
      <alignment horizontal="center" readingOrder="0" shrinkToFit="0" wrapText="1"/>
    </xf>
    <xf borderId="0" fillId="0" fontId="9" numFmtId="0" xfId="0" applyAlignment="1" applyFont="1">
      <alignment vertical="bottom"/>
    </xf>
    <xf borderId="3" fillId="6" fontId="4" numFmtId="0" xfId="0" applyBorder="1" applyFont="1"/>
    <xf borderId="0" fillId="6" fontId="4" numFmtId="0" xfId="0" applyFont="1"/>
    <xf borderId="3" fillId="6" fontId="4" numFmtId="0" xfId="0" applyAlignment="1" applyBorder="1" applyFont="1">
      <alignment readingOrder="0"/>
    </xf>
    <xf borderId="3" fillId="6" fontId="5" numFmtId="164" xfId="0" applyAlignment="1" applyBorder="1" applyFont="1" applyNumberFormat="1">
      <alignment horizontal="center" readingOrder="0"/>
    </xf>
    <xf borderId="3" fillId="6" fontId="4" numFmtId="0" xfId="0" applyAlignment="1" applyBorder="1" applyFont="1">
      <alignment horizontal="center"/>
    </xf>
    <xf borderId="3" fillId="6" fontId="4" numFmtId="165" xfId="0" applyAlignment="1" applyBorder="1" applyFont="1" applyNumberFormat="1">
      <alignment horizontal="center" readingOrder="0"/>
    </xf>
    <xf borderId="3" fillId="6" fontId="4" numFmtId="166" xfId="0" applyAlignment="1" applyBorder="1" applyFont="1" applyNumberFormat="1">
      <alignment horizontal="center" readingOrder="0"/>
    </xf>
    <xf borderId="3" fillId="8" fontId="4" numFmtId="0" xfId="0" applyAlignment="1" applyBorder="1" applyFill="1" applyFont="1">
      <alignment horizontal="center" readingOrder="0"/>
    </xf>
    <xf borderId="3" fillId="8" fontId="4" numFmtId="0" xfId="0" applyAlignment="1" applyBorder="1" applyFont="1">
      <alignment horizontal="center"/>
    </xf>
    <xf borderId="3" fillId="8" fontId="4" numFmtId="0" xfId="0" applyBorder="1" applyFont="1"/>
    <xf borderId="0" fillId="8" fontId="4" numFmtId="0" xfId="0" applyFont="1"/>
    <xf borderId="3" fillId="6" fontId="10" numFmtId="0" xfId="0" applyAlignment="1" applyBorder="1" applyFont="1">
      <alignment horizontal="center" readingOrder="0"/>
    </xf>
    <xf borderId="3" fillId="8" fontId="4" numFmtId="0" xfId="0" applyAlignment="1" applyBorder="1" applyFont="1">
      <alignment readingOrder="0"/>
    </xf>
    <xf borderId="3" fillId="6" fontId="5" numFmtId="0" xfId="0" applyAlignment="1" applyBorder="1" applyFont="1">
      <alignment horizontal="left" readingOrder="0"/>
    </xf>
    <xf borderId="3" fillId="6" fontId="5" numFmtId="0" xfId="0" applyAlignment="1" applyBorder="1" applyFont="1">
      <alignment horizontal="center" readingOrder="0"/>
    </xf>
    <xf borderId="3" fillId="6" fontId="11" numFmtId="0" xfId="0" applyAlignment="1" applyBorder="1" applyFont="1">
      <alignment horizontal="center" readingOrder="0"/>
    </xf>
    <xf borderId="3" fillId="6" fontId="12" numFmtId="0" xfId="0" applyAlignment="1" applyBorder="1" applyFont="1">
      <alignment horizontal="center" readingOrder="0"/>
    </xf>
    <xf borderId="0" fillId="6" fontId="4" numFmtId="0" xfId="0" applyAlignment="1" applyFont="1">
      <alignment horizontal="left" readingOrder="0"/>
    </xf>
    <xf borderId="0" fillId="6" fontId="4" numFmtId="0" xfId="0" applyAlignment="1" applyFont="1">
      <alignment horizontal="center" readingOrder="0"/>
    </xf>
    <xf borderId="3" fillId="6" fontId="13" numFmtId="0" xfId="0" applyAlignment="1" applyBorder="1" applyFont="1">
      <alignment horizontal="center" readingOrder="0"/>
    </xf>
    <xf borderId="3" fillId="6" fontId="6" numFmtId="0" xfId="0" applyAlignment="1" applyBorder="1" applyFont="1">
      <alignment horizontal="center" readingOrder="0"/>
    </xf>
    <xf borderId="3" fillId="8" fontId="12" numFmtId="0" xfId="0" applyAlignment="1" applyBorder="1" applyFont="1">
      <alignment horizontal="center" readingOrder="0"/>
    </xf>
    <xf borderId="3" fillId="6" fontId="14" numFmtId="164" xfId="0" applyAlignment="1" applyBorder="1" applyFont="1" applyNumberFormat="1">
      <alignment horizontal="center" shrinkToFit="0" vertical="bottom" wrapText="0"/>
    </xf>
    <xf borderId="3" fillId="6" fontId="14" numFmtId="0" xfId="0" applyAlignment="1" applyBorder="1" applyFont="1">
      <alignment shrinkToFit="0" vertical="bottom" wrapText="0"/>
    </xf>
    <xf borderId="3" fillId="6" fontId="14" numFmtId="0" xfId="0" applyAlignment="1" applyBorder="1" applyFont="1">
      <alignment readingOrder="0" shrinkToFit="0" vertical="bottom" wrapText="0"/>
    </xf>
    <xf borderId="3" fillId="6" fontId="15" numFmtId="0" xfId="0" applyAlignment="1" applyBorder="1" applyFont="1">
      <alignment readingOrder="0" vertical="bottom"/>
    </xf>
    <xf borderId="3" fillId="6" fontId="14" numFmtId="4" xfId="0" applyAlignment="1" applyBorder="1" applyFont="1" applyNumberFormat="1">
      <alignment horizontal="center" shrinkToFit="0" vertical="bottom" wrapText="0"/>
    </xf>
    <xf borderId="3" fillId="6" fontId="14" numFmtId="0" xfId="0" applyAlignment="1" applyBorder="1" applyFont="1">
      <alignment horizontal="center" shrinkToFit="0" vertical="bottom" wrapText="0"/>
    </xf>
    <xf borderId="3" fillId="6" fontId="14" numFmtId="0" xfId="0" applyAlignment="1" applyBorder="1" applyFont="1">
      <alignment horizontal="center" readingOrder="0" shrinkToFit="0" vertical="bottom" wrapText="0"/>
    </xf>
    <xf borderId="3" fillId="6" fontId="16" numFmtId="4" xfId="0" applyAlignment="1" applyBorder="1" applyFont="1" applyNumberFormat="1">
      <alignment horizontal="center" shrinkToFit="0" vertical="bottom" wrapText="0"/>
    </xf>
    <xf borderId="3" fillId="6" fontId="15" numFmtId="0" xfId="0" applyBorder="1" applyFont="1"/>
    <xf borderId="0" fillId="6" fontId="15" numFmtId="0" xfId="0" applyAlignment="1" applyFont="1">
      <alignment vertical="bottom"/>
    </xf>
    <xf borderId="3" fillId="6" fontId="13" numFmtId="0" xfId="0" applyAlignment="1" applyBorder="1" applyFont="1">
      <alignment horizontal="left" readingOrder="0"/>
    </xf>
    <xf borderId="3" fillId="6" fontId="5" numFmtId="164" xfId="0" applyAlignment="1" applyBorder="1" applyFont="1" applyNumberFormat="1">
      <alignment horizontal="left" readingOrder="0"/>
    </xf>
    <xf borderId="3" fillId="6" fontId="14" numFmtId="166" xfId="0" applyAlignment="1" applyBorder="1" applyFont="1" applyNumberFormat="1">
      <alignment horizontal="center" readingOrder="0" shrinkToFit="0" vertical="bottom" wrapText="0"/>
    </xf>
    <xf borderId="3" fillId="6" fontId="14" numFmtId="164" xfId="0" applyAlignment="1" applyBorder="1" applyFont="1" applyNumberFormat="1">
      <alignment horizontal="center" readingOrder="0" shrinkToFit="0" vertical="bottom" wrapText="0"/>
    </xf>
    <xf borderId="0" fillId="6" fontId="4" numFmtId="166" xfId="0" applyAlignment="1" applyFont="1" applyNumberFormat="1">
      <alignment horizontal="center" readingOrder="0"/>
    </xf>
    <xf borderId="3" fillId="6" fontId="17" numFmtId="0" xfId="0" applyAlignment="1" applyBorder="1" applyFont="1">
      <alignment horizontal="center" readingOrder="0"/>
    </xf>
    <xf borderId="3" fillId="0" fontId="4" numFmtId="0" xfId="0" applyAlignment="1" applyBorder="1" applyFont="1">
      <alignment horizontal="center"/>
    </xf>
    <xf borderId="3" fillId="0" fontId="4" numFmtId="0" xfId="0" applyAlignment="1" applyBorder="1" applyFont="1">
      <alignment readingOrder="0"/>
    </xf>
    <xf borderId="3" fillId="9" fontId="5" numFmtId="164" xfId="0" applyAlignment="1" applyBorder="1" applyFill="1" applyFont="1" applyNumberFormat="1">
      <alignment horizontal="center" readingOrder="0"/>
    </xf>
    <xf borderId="3" fillId="9" fontId="4" numFmtId="0" xfId="0" applyAlignment="1" applyBorder="1" applyFont="1">
      <alignment horizontal="center" readingOrder="0"/>
    </xf>
    <xf borderId="3" fillId="9" fontId="4" numFmtId="0" xfId="0" applyAlignment="1" applyBorder="1" applyFont="1">
      <alignment horizontal="left" readingOrder="0"/>
    </xf>
    <xf borderId="3" fillId="9" fontId="4" numFmtId="4" xfId="0" applyAlignment="1" applyBorder="1" applyFont="1" applyNumberFormat="1">
      <alignment horizontal="center" readingOrder="0"/>
    </xf>
    <xf borderId="3" fillId="9" fontId="3" numFmtId="4" xfId="0" applyAlignment="1" applyBorder="1" applyFont="1" applyNumberFormat="1">
      <alignment horizontal="center" readingOrder="0"/>
    </xf>
    <xf borderId="3" fillId="9" fontId="4" numFmtId="166" xfId="0" applyAlignment="1" applyBorder="1" applyFont="1" applyNumberFormat="1">
      <alignment horizontal="center" readingOrder="0"/>
    </xf>
    <xf borderId="3" fillId="9" fontId="4" numFmtId="0" xfId="0" applyAlignment="1" applyBorder="1" applyFont="1">
      <alignment horizontal="center"/>
    </xf>
    <xf borderId="3" fillId="9" fontId="4" numFmtId="0" xfId="0" applyAlignment="1" applyBorder="1" applyFont="1">
      <alignment readingOrder="0"/>
    </xf>
    <xf borderId="0" fillId="9" fontId="4" numFmtId="0" xfId="0" applyFont="1"/>
    <xf borderId="0" fillId="6" fontId="5" numFmtId="0" xfId="0" applyAlignment="1" applyFont="1">
      <alignment horizontal="center" readingOrder="0"/>
    </xf>
    <xf borderId="3" fillId="6" fontId="4" numFmtId="0" xfId="0" applyAlignment="1" applyBorder="1" applyFont="1">
      <alignment horizontal="center" readingOrder="0"/>
    </xf>
    <xf borderId="3" fillId="6" fontId="3" numFmtId="0" xfId="0" applyAlignment="1" applyBorder="1" applyFont="1">
      <alignment horizontal="center" readingOrder="0"/>
    </xf>
    <xf borderId="3" fillId="6" fontId="4" numFmtId="4" xfId="0" applyAlignment="1" applyBorder="1" applyFont="1" applyNumberFormat="1">
      <alignment horizontal="left" readingOrder="0"/>
    </xf>
    <xf borderId="3" fillId="8" fontId="5" numFmtId="164" xfId="0" applyAlignment="1" applyBorder="1" applyFont="1" applyNumberFormat="1">
      <alignment horizontal="center" readingOrder="0"/>
    </xf>
    <xf borderId="3" fillId="8" fontId="4" numFmtId="0" xfId="0" applyAlignment="1" applyBorder="1" applyFont="1">
      <alignment horizontal="left" readingOrder="0"/>
    </xf>
    <xf borderId="3" fillId="8" fontId="4" numFmtId="4" xfId="0" applyAlignment="1" applyBorder="1" applyFont="1" applyNumberFormat="1">
      <alignment horizontal="center" readingOrder="0"/>
    </xf>
    <xf borderId="3" fillId="8" fontId="3" numFmtId="4" xfId="0" applyAlignment="1" applyBorder="1" applyFont="1" applyNumberFormat="1">
      <alignment horizontal="center" readingOrder="0"/>
    </xf>
    <xf borderId="3" fillId="5" fontId="5" numFmtId="164" xfId="0" applyAlignment="1" applyBorder="1" applyFont="1" applyNumberFormat="1">
      <alignment horizontal="center" readingOrder="0"/>
    </xf>
    <xf borderId="3" fillId="5" fontId="4" numFmtId="0" xfId="0" applyAlignment="1" applyBorder="1" applyFont="1">
      <alignment horizontal="center" readingOrder="0"/>
    </xf>
    <xf borderId="3" fillId="5" fontId="4" numFmtId="0" xfId="0" applyAlignment="1" applyBorder="1" applyFont="1">
      <alignment horizontal="left" readingOrder="0"/>
    </xf>
    <xf borderId="3" fillId="5" fontId="4" numFmtId="4" xfId="0" applyAlignment="1" applyBorder="1" applyFont="1" applyNumberFormat="1">
      <alignment horizontal="center" readingOrder="0"/>
    </xf>
    <xf borderId="3" fillId="5" fontId="3" numFmtId="4" xfId="0" applyAlignment="1" applyBorder="1" applyFont="1" applyNumberFormat="1">
      <alignment horizontal="center" readingOrder="0"/>
    </xf>
    <xf borderId="3" fillId="5" fontId="4" numFmtId="0" xfId="0" applyAlignment="1" applyBorder="1" applyFont="1">
      <alignment horizontal="center"/>
    </xf>
    <xf borderId="3" fillId="5" fontId="4" numFmtId="0" xfId="0" applyBorder="1" applyFont="1"/>
    <xf borderId="3" fillId="5" fontId="4" numFmtId="0" xfId="0" applyAlignment="1" applyBorder="1" applyFont="1">
      <alignment horizontal="center" readingOrder="0"/>
    </xf>
    <xf borderId="3" fillId="8" fontId="4" numFmtId="0" xfId="0" applyAlignment="1" applyBorder="1" applyFont="1">
      <alignment horizontal="center" readingOrder="0"/>
    </xf>
    <xf borderId="3" fillId="4" fontId="4" numFmtId="4" xfId="0" applyAlignment="1" applyBorder="1" applyFont="1" applyNumberFormat="1">
      <alignment horizontal="center" readingOrder="0"/>
    </xf>
    <xf borderId="3" fillId="4" fontId="3" numFmtId="4" xfId="0" applyAlignment="1" applyBorder="1" applyFont="1" applyNumberFormat="1">
      <alignment horizontal="center" readingOrder="0"/>
    </xf>
    <xf borderId="3" fillId="8" fontId="4" numFmtId="166" xfId="0" applyAlignment="1" applyBorder="1" applyFont="1" applyNumberFormat="1">
      <alignment horizontal="center" readingOrder="0"/>
    </xf>
    <xf borderId="3" fillId="8" fontId="4" numFmtId="164" xfId="0" applyAlignment="1" applyBorder="1" applyFont="1" applyNumberFormat="1">
      <alignment horizontal="center" readingOrder="0"/>
    </xf>
    <xf borderId="3" fillId="4" fontId="5" numFmtId="164" xfId="0" applyAlignment="1" applyBorder="1" applyFont="1" applyNumberFormat="1">
      <alignment horizontal="center" readingOrder="0"/>
    </xf>
    <xf borderId="3" fillId="4" fontId="4" numFmtId="0" xfId="0" applyAlignment="1" applyBorder="1" applyFont="1">
      <alignment horizontal="center"/>
    </xf>
    <xf borderId="0" fillId="8" fontId="5" numFmtId="0" xfId="0" applyAlignment="1" applyFont="1">
      <alignment horizontal="center" readingOrder="0"/>
    </xf>
    <xf borderId="3" fillId="0" fontId="4" numFmtId="0" xfId="0" applyBorder="1" applyFont="1"/>
    <xf borderId="3" fillId="0" fontId="4" numFmtId="0" xfId="0" applyAlignment="1" applyBorder="1" applyFont="1">
      <alignment horizontal="center" readingOrder="0"/>
    </xf>
    <xf borderId="3" fillId="0" fontId="4" numFmtId="164" xfId="0" applyAlignment="1" applyBorder="1" applyFont="1" applyNumberFormat="1">
      <alignment horizontal="center" readingOrder="0"/>
    </xf>
    <xf borderId="3" fillId="4" fontId="18" numFmtId="0" xfId="0" applyAlignment="1" applyBorder="1" applyFont="1">
      <alignment shrinkToFit="0" wrapText="0"/>
    </xf>
    <xf borderId="3" fillId="4" fontId="19" numFmtId="1" xfId="0" applyAlignment="1" applyBorder="1" applyFont="1" applyNumberFormat="1">
      <alignment horizontal="right" shrinkToFit="0" wrapText="0"/>
    </xf>
    <xf borderId="3" fillId="4" fontId="19" numFmtId="3" xfId="0" applyAlignment="1" applyBorder="1" applyFont="1" applyNumberFormat="1">
      <alignment horizontal="right" readingOrder="0" shrinkToFit="0" wrapText="0"/>
    </xf>
    <xf borderId="3" fillId="4" fontId="19" numFmtId="0" xfId="0" applyAlignment="1" applyBorder="1" applyFont="1">
      <alignment horizontal="right" shrinkToFit="0" wrapText="0"/>
    </xf>
    <xf borderId="3" fillId="0" fontId="4" numFmtId="0" xfId="0" applyAlignment="1" applyBorder="1" applyFont="1">
      <alignment horizontal="left" readingOrder="0"/>
    </xf>
    <xf borderId="3" fillId="4" fontId="20" numFmtId="0" xfId="0" applyAlignment="1" applyBorder="1" applyFont="1">
      <alignment horizontal="left" shrinkToFit="0" wrapText="0"/>
    </xf>
    <xf borderId="3" fillId="4" fontId="19" numFmtId="0" xfId="0" applyAlignment="1" applyBorder="1" applyFont="1">
      <alignment horizontal="center" readingOrder="0" shrinkToFit="0" wrapText="0"/>
    </xf>
    <xf borderId="3" fillId="4" fontId="15" numFmtId="0" xfId="0" applyAlignment="1" applyBorder="1" applyFont="1">
      <alignment horizontal="left" readingOrder="0" shrinkToFit="0" wrapText="0"/>
    </xf>
    <xf borderId="3" fillId="10" fontId="18" numFmtId="0" xfId="0" applyAlignment="1" applyBorder="1" applyFill="1" applyFont="1">
      <alignment horizontal="left" shrinkToFit="0" wrapText="0"/>
    </xf>
    <xf borderId="3" fillId="10" fontId="19" numFmtId="0" xfId="0" applyAlignment="1" applyBorder="1" applyFont="1">
      <alignment horizontal="center" readingOrder="0" shrinkToFit="0" wrapText="0"/>
    </xf>
    <xf borderId="3" fillId="10" fontId="15" numFmtId="0" xfId="0" applyAlignment="1" applyBorder="1" applyFont="1">
      <alignment horizontal="left" readingOrder="0" shrinkToFit="0" wrapText="0"/>
    </xf>
    <xf borderId="3" fillId="4" fontId="15" numFmtId="0" xfId="0" applyAlignment="1" applyBorder="1" applyFont="1">
      <alignment horizontal="left" shrinkToFit="0" wrapText="0"/>
    </xf>
    <xf borderId="3" fillId="10" fontId="15" numFmtId="0" xfId="0" applyAlignment="1" applyBorder="1" applyFont="1">
      <alignment horizontal="left" shrinkToFit="0" wrapText="0"/>
    </xf>
    <xf borderId="3" fillId="10" fontId="15" numFmtId="0" xfId="0" applyAlignment="1" applyBorder="1" applyFont="1">
      <alignment horizontal="center" readingOrder="0" shrinkToFit="0" wrapText="0"/>
    </xf>
    <xf borderId="3" fillId="10" fontId="20" numFmtId="0" xfId="0" applyAlignment="1" applyBorder="1" applyFont="1">
      <alignment horizontal="left" shrinkToFit="0" wrapText="0"/>
    </xf>
    <xf borderId="3" fillId="4" fontId="18" numFmtId="0" xfId="0" applyAlignment="1" applyBorder="1" applyFont="1">
      <alignment horizontal="left" shrinkToFit="0" wrapText="0"/>
    </xf>
    <xf borderId="3" fillId="10" fontId="15" numFmtId="0" xfId="0" applyAlignment="1" applyBorder="1" applyFont="1">
      <alignment horizontal="center" readingOrder="0"/>
    </xf>
    <xf borderId="3" fillId="10" fontId="21" numFmtId="0" xfId="0" applyAlignment="1" applyBorder="1" applyFont="1">
      <alignment horizontal="left" shrinkToFit="0" vertical="bottom" wrapText="0"/>
    </xf>
    <xf borderId="0" fillId="0" fontId="4" numFmtId="1" xfId="0" applyAlignment="1" applyFont="1" applyNumberFormat="1">
      <alignment horizontal="center"/>
    </xf>
    <xf borderId="0" fillId="0" fontId="4" numFmtId="3" xfId="0" applyFont="1" applyNumberFormat="1"/>
    <xf borderId="3" fillId="10" fontId="19" numFmtId="0" xfId="0" applyAlignment="1" applyBorder="1" applyFont="1">
      <alignment horizontal="left" shrinkToFit="0" wrapText="0"/>
    </xf>
    <xf borderId="0" fillId="0" fontId="4" numFmtId="3" xfId="0" applyAlignment="1" applyFont="1" applyNumberFormat="1">
      <alignment readingOrder="0"/>
    </xf>
    <xf borderId="0" fillId="6" fontId="20" numFmtId="0" xfId="0" applyAlignment="1" applyFont="1">
      <alignment shrinkToFit="0" wrapText="0"/>
    </xf>
    <xf borderId="0" fillId="6" fontId="15" numFmtId="1" xfId="0" applyAlignment="1" applyFont="1" applyNumberFormat="1">
      <alignment horizontal="right" shrinkToFit="0" wrapText="0"/>
    </xf>
    <xf borderId="0" fillId="6" fontId="15" numFmtId="3" xfId="0" applyAlignment="1" applyFont="1" applyNumberFormat="1">
      <alignment horizontal="right" readingOrder="0" shrinkToFit="0" wrapText="0"/>
    </xf>
    <xf borderId="0" fillId="6" fontId="15" numFmtId="0" xfId="0" applyAlignment="1" applyFont="1">
      <alignment horizontal="right" readingOrder="0" shrinkToFit="0" wrapText="0"/>
    </xf>
    <xf borderId="0" fillId="6" fontId="18" numFmtId="0" xfId="0" applyAlignment="1" applyFont="1">
      <alignment shrinkToFit="0" wrapText="0"/>
    </xf>
    <xf borderId="0" fillId="6" fontId="19" numFmtId="1" xfId="0" applyAlignment="1" applyFont="1" applyNumberFormat="1">
      <alignment horizontal="right" shrinkToFit="0" wrapText="0"/>
    </xf>
    <xf borderId="0" fillId="6" fontId="19" numFmtId="3" xfId="0" applyAlignment="1" applyFont="1" applyNumberFormat="1">
      <alignment horizontal="right" readingOrder="0" shrinkToFit="0" wrapText="0"/>
    </xf>
    <xf borderId="0" fillId="6" fontId="19" numFmtId="0" xfId="0" applyAlignment="1" applyFont="1">
      <alignment horizontal="right" shrinkToFit="0" wrapText="0"/>
    </xf>
    <xf borderId="0" fillId="6" fontId="15" numFmtId="0" xfId="0" applyAlignment="1" applyFont="1">
      <alignment horizontal="right" shrinkToFit="0" wrapText="0"/>
    </xf>
    <xf borderId="0" fillId="0" fontId="4" numFmtId="0" xfId="0" applyAlignment="1" applyFont="1">
      <alignment horizontal="left"/>
    </xf>
    <xf borderId="0" fillId="0" fontId="4" numFmtId="0" xfId="0" applyAlignment="1" applyFont="1">
      <alignment horizontal="center"/>
    </xf>
    <xf borderId="0" fillId="10" fontId="18" numFmtId="0" xfId="0" applyAlignment="1" applyFont="1">
      <alignment horizontal="center" shrinkToFit="0" wrapText="0"/>
    </xf>
    <xf borderId="0" fillId="10" fontId="19" numFmtId="1" xfId="0" applyAlignment="1" applyFont="1" applyNumberFormat="1">
      <alignment horizontal="right" shrinkToFit="0" wrapText="0"/>
    </xf>
    <xf borderId="0" fillId="10" fontId="19" numFmtId="3" xfId="0" applyAlignment="1" applyFont="1" applyNumberFormat="1">
      <alignment horizontal="right" readingOrder="0" shrinkToFit="0" wrapText="0"/>
    </xf>
    <xf borderId="0" fillId="10" fontId="19" numFmtId="0" xfId="0" applyAlignment="1" applyFont="1">
      <alignment horizontal="right" shrinkToFit="0" wrapText="0"/>
    </xf>
    <xf borderId="0" fillId="6" fontId="21" numFmtId="0" xfId="0" applyAlignment="1" applyFont="1">
      <alignment shrinkToFit="0" vertical="bottom" wrapText="0"/>
    </xf>
    <xf borderId="0" fillId="6" fontId="18" numFmtId="0" xfId="0" applyAlignment="1" applyFont="1">
      <alignment horizontal="center" shrinkToFit="0" wrapText="0"/>
    </xf>
    <xf borderId="0" fillId="4" fontId="19" numFmtId="0" xfId="0" applyAlignment="1" applyFont="1">
      <alignment shrinkToFit="0" wrapText="0"/>
    </xf>
    <xf borderId="0" fillId="11" fontId="20" numFmtId="0" xfId="0" applyAlignment="1" applyFill="1" applyFont="1">
      <alignment shrinkToFit="0" wrapText="0"/>
    </xf>
    <xf borderId="0" fillId="11" fontId="19" numFmtId="1" xfId="0" applyAlignment="1" applyFont="1" applyNumberFormat="1">
      <alignment horizontal="right" shrinkToFit="0" wrapText="0"/>
    </xf>
    <xf borderId="0" fillId="11" fontId="19" numFmtId="3" xfId="0" applyAlignment="1" applyFont="1" applyNumberFormat="1">
      <alignment horizontal="right" readingOrder="0" shrinkToFit="0" wrapText="0"/>
    </xf>
    <xf borderId="0" fillId="11" fontId="19" numFmtId="0" xfId="0" applyAlignment="1" applyFont="1">
      <alignment horizontal="right" shrinkToFit="0" wrapText="0"/>
    </xf>
    <xf borderId="0" fillId="11" fontId="18" numFmtId="0" xfId="0" applyAlignment="1" applyFont="1">
      <alignment shrinkToFit="0" wrapText="0"/>
    </xf>
    <xf borderId="0" fillId="6" fontId="15" numFmtId="0" xfId="0" applyAlignment="1" applyFont="1">
      <alignment shrinkToFit="0" wrapText="0"/>
    </xf>
    <xf borderId="0" fillId="10" fontId="18" numFmtId="0" xfId="0" applyAlignment="1" applyFont="1">
      <alignment shrinkToFit="0" wrapText="0"/>
    </xf>
    <xf borderId="0" fillId="10" fontId="15" numFmtId="1" xfId="0" applyFont="1" applyNumberFormat="1"/>
    <xf borderId="0" fillId="10" fontId="15" numFmtId="3" xfId="0" applyAlignment="1" applyFont="1" applyNumberFormat="1">
      <alignment readingOrder="0"/>
    </xf>
    <xf borderId="0" fillId="10" fontId="15" numFmtId="0" xfId="0" applyFont="1"/>
    <xf borderId="0" fillId="6" fontId="20" numFmtId="0" xfId="0" applyAlignment="1" applyFont="1">
      <alignment horizontal="center" shrinkToFit="0" wrapText="0"/>
    </xf>
    <xf borderId="0" fillId="12" fontId="15" numFmtId="0" xfId="0" applyAlignment="1" applyFill="1" applyFont="1">
      <alignment shrinkToFit="0" wrapText="0"/>
    </xf>
    <xf borderId="0" fillId="12" fontId="19" numFmtId="1" xfId="0" applyAlignment="1" applyFont="1" applyNumberFormat="1">
      <alignment horizontal="right" shrinkToFit="0" wrapText="0"/>
    </xf>
    <xf borderId="0" fillId="12" fontId="19" numFmtId="3" xfId="0" applyAlignment="1" applyFont="1" applyNumberFormat="1">
      <alignment horizontal="right" readingOrder="0" shrinkToFit="0" wrapText="0"/>
    </xf>
    <xf borderId="0" fillId="12" fontId="19" numFmtId="0" xfId="0" applyAlignment="1" applyFont="1">
      <alignment horizontal="right" shrinkToFit="0" wrapText="0"/>
    </xf>
    <xf borderId="0" fillId="0" fontId="3" numFmtId="0" xfId="0" applyAlignment="1" applyFont="1">
      <alignment readingOrder="0"/>
    </xf>
    <xf borderId="3"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xf>
    <xf borderId="4" fillId="0" fontId="2" numFmtId="0" xfId="0" applyBorder="1" applyFont="1"/>
    <xf borderId="0" fillId="0" fontId="3" numFmtId="0" xfId="0" applyAlignment="1" applyFont="1">
      <alignment horizontal="center" readingOrder="0"/>
    </xf>
    <xf borderId="0" fillId="0" fontId="4" numFmtId="0" xfId="0" applyAlignment="1" applyFont="1">
      <alignment horizontal="center" readingOrder="0"/>
    </xf>
    <xf borderId="3" fillId="0" fontId="4" numFmtId="165" xfId="0" applyAlignment="1" applyBorder="1" applyFont="1" applyNumberFormat="1">
      <alignment readingOrder="0"/>
    </xf>
    <xf borderId="3" fillId="0" fontId="4" numFmtId="166" xfId="0" applyAlignment="1" applyBorder="1" applyFont="1" applyNumberFormat="1">
      <alignment readingOrder="0"/>
    </xf>
    <xf borderId="3" fillId="0" fontId="4" numFmtId="0" xfId="0" applyAlignment="1" applyBorder="1" applyFont="1">
      <alignment readingOrder="0" shrinkToFit="0" wrapText="1"/>
    </xf>
    <xf borderId="0" fillId="0" fontId="4" numFmtId="166" xfId="0" applyAlignment="1" applyFont="1" applyNumberFormat="1">
      <alignment readingOrder="0"/>
    </xf>
    <xf borderId="0" fillId="0" fontId="4" numFmtId="165" xfId="0" applyAlignment="1" applyFont="1" applyNumberFormat="1">
      <alignment readingOrder="0"/>
    </xf>
    <xf borderId="3" fillId="0" fontId="9" numFmtId="165" xfId="0" applyAlignment="1" applyBorder="1" applyFont="1" applyNumberFormat="1">
      <alignment horizontal="right" vertical="bottom"/>
    </xf>
    <xf borderId="3" fillId="0" fontId="9" numFmtId="0" xfId="0" applyAlignment="1" applyBorder="1" applyFont="1">
      <alignment readingOrder="0" vertical="bottom"/>
    </xf>
    <xf borderId="3" fillId="0" fontId="9" numFmtId="0" xfId="0" applyAlignment="1" applyBorder="1" applyFont="1">
      <alignment horizontal="right" readingOrder="0" vertical="bottom"/>
    </xf>
    <xf borderId="3" fillId="0" fontId="9" numFmtId="165" xfId="0" applyAlignment="1" applyBorder="1" applyFont="1" applyNumberFormat="1">
      <alignment horizontal="right" readingOrder="0" vertical="bottom"/>
    </xf>
    <xf borderId="1" fillId="0" fontId="3" numFmtId="0" xfId="0" applyAlignment="1" applyBorder="1" applyFont="1">
      <alignment readingOrder="0"/>
    </xf>
    <xf borderId="0" fillId="12" fontId="4" numFmtId="0" xfId="0" applyFont="1"/>
    <xf borderId="0" fillId="5" fontId="4" numFmtId="0" xfId="0" applyFont="1"/>
    <xf borderId="3" fillId="0" fontId="6" numFmtId="0" xfId="0" applyAlignment="1" applyBorder="1" applyFont="1">
      <alignment readingOrder="0"/>
    </xf>
    <xf borderId="3" fillId="0" fontId="4" numFmtId="167" xfId="0" applyAlignment="1" applyBorder="1" applyFont="1" applyNumberFormat="1">
      <alignment readingOrder="0"/>
    </xf>
    <xf borderId="3" fillId="4" fontId="4" numFmtId="164" xfId="0" applyAlignment="1" applyBorder="1" applyFont="1" applyNumberFormat="1">
      <alignment horizontal="center" readingOrder="0"/>
    </xf>
    <xf borderId="3" fillId="4" fontId="4" numFmtId="0" xfId="0" applyAlignment="1" applyBorder="1" applyFont="1">
      <alignment horizontal="left" readingOrder="0"/>
    </xf>
    <xf borderId="3" fillId="4" fontId="4" numFmtId="0" xfId="0" applyAlignment="1" applyBorder="1" applyFont="1">
      <alignment horizontal="center" readingOrder="0"/>
    </xf>
    <xf borderId="3" fillId="4" fontId="3" numFmtId="164" xfId="0" applyAlignment="1" applyBorder="1" applyFont="1" applyNumberFormat="1">
      <alignment horizontal="center" readingOrder="0"/>
    </xf>
    <xf borderId="3" fillId="4" fontId="3" numFmtId="0" xfId="0" applyAlignment="1" applyBorder="1" applyFont="1">
      <alignment horizontal="left" readingOrder="0"/>
    </xf>
    <xf borderId="3" fillId="4" fontId="3" numFmtId="0" xfId="0" applyAlignment="1" applyBorder="1" applyFont="1">
      <alignment horizontal="center" readingOrder="0"/>
    </xf>
    <xf borderId="0" fillId="0" fontId="3" numFmtId="0" xfId="0" applyAlignment="1" applyFont="1">
      <alignment horizontal="left" readingOrder="0"/>
    </xf>
    <xf borderId="3" fillId="4" fontId="22" numFmtId="164" xfId="0" applyAlignment="1" applyBorder="1" applyFont="1" applyNumberFormat="1">
      <alignment horizontal="center" readingOrder="0" vertical="bottom"/>
    </xf>
    <xf borderId="2" fillId="4" fontId="22" numFmtId="0" xfId="0" applyAlignment="1" applyBorder="1" applyFont="1">
      <alignment readingOrder="0" vertical="bottom"/>
    </xf>
    <xf borderId="2" fillId="4" fontId="22" numFmtId="0" xfId="0" applyAlignment="1" applyBorder="1" applyFont="1">
      <alignment horizontal="center" readingOrder="0" vertical="bottom"/>
    </xf>
    <xf borderId="3" fillId="4" fontId="4" numFmtId="164" xfId="0" applyAlignment="1" applyBorder="1" applyFont="1" applyNumberFormat="1">
      <alignment horizontal="center" readingOrder="0" shrinkToFit="0" wrapText="1"/>
    </xf>
    <xf borderId="3" fillId="7" fontId="23" numFmtId="0" xfId="0" applyAlignment="1" applyBorder="1" applyFont="1">
      <alignment readingOrder="0"/>
    </xf>
    <xf borderId="3" fillId="0" fontId="3" numFmtId="0" xfId="0" applyAlignment="1" applyBorder="1" applyFont="1">
      <alignment readingOrder="0"/>
    </xf>
    <xf borderId="3" fillId="0" fontId="4" numFmtId="9" xfId="0" applyAlignment="1" applyBorder="1" applyFont="1" applyNumberFormat="1">
      <alignment horizontal="center" readingOrder="0"/>
    </xf>
    <xf borderId="5" fillId="0" fontId="3" numFmtId="0" xfId="0" applyAlignment="1" applyBorder="1" applyFont="1">
      <alignment readingOrder="0" vertical="center"/>
    </xf>
    <xf borderId="5" fillId="0" fontId="4" numFmtId="0" xfId="0" applyAlignment="1" applyBorder="1" applyFont="1">
      <alignment horizontal="center" readingOrder="0"/>
    </xf>
    <xf borderId="6" fillId="0" fontId="2" numFmtId="0" xfId="0" applyBorder="1" applyFont="1"/>
    <xf borderId="5" fillId="0" fontId="3" numFmtId="0" xfId="0" applyAlignment="1" applyBorder="1" applyFont="1">
      <alignment readingOrder="0"/>
    </xf>
    <xf borderId="5" fillId="0" fontId="4" numFmtId="9" xfId="0" applyAlignment="1" applyBorder="1" applyFont="1" applyNumberFormat="1">
      <alignment horizontal="center" readingOrder="0"/>
    </xf>
    <xf borderId="7" fillId="0" fontId="2" numFmtId="0" xfId="0" applyBorder="1" applyFont="1"/>
    <xf borderId="3" fillId="0" fontId="3" numFmtId="0" xfId="0" applyBorder="1" applyFont="1"/>
    <xf borderId="3" fillId="4" fontId="3" numFmtId="0" xfId="0" applyAlignment="1" applyBorder="1" applyFont="1">
      <alignment horizontal="left" readingOrder="0"/>
    </xf>
    <xf borderId="5" fillId="0" fontId="4" numFmtId="0" xfId="0" applyBorder="1" applyFont="1"/>
    <xf borderId="5" fillId="4" fontId="3" numFmtId="0" xfId="0" applyAlignment="1" applyBorder="1" applyFont="1">
      <alignment horizontal="left" readingOrder="0"/>
    </xf>
    <xf borderId="8" fillId="0" fontId="4" numFmtId="0" xfId="0" applyBorder="1" applyFont="1"/>
  </cellXfs>
  <cellStyles count="1">
    <cellStyle xfId="0" name="Normal" builtinId="0"/>
  </cellStyles>
  <dxfs count="4">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E8E7FC"/>
          <bgColor rgb="FFE8E7FC"/>
        </patternFill>
      </fill>
      <border/>
    </dxf>
  </dxfs>
  <tableStyles count="3">
    <tableStyle count="2" pivot="0" name="Лист13-style">
      <tableStyleElement dxfId="1" type="firstRowStripe"/>
      <tableStyleElement dxfId="2" type="secondRowStripe"/>
    </tableStyle>
    <tableStyle count="2" pivot="0" name="Лист13-style 2">
      <tableStyleElement dxfId="3" type="firstRowStripe"/>
      <tableStyleElement dxfId="2" type="secondRowStripe"/>
    </tableStyle>
    <tableStyle count="2" pivot="0" name="Лист13-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1371600</xdr:colOff>
      <xdr:row>222</xdr:row>
      <xdr:rowOff>180975</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s>
</file>

<file path=xl/tables/table1.xml><?xml version="1.0" encoding="utf-8"?>
<table xmlns="http://schemas.openxmlformats.org/spreadsheetml/2006/main" headerRowCount="0" ref="A1:Y273" displayName="Table_1" name="Table_1" id="1">
  <autoFilter ref="$A$1:$Y$273"/>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headerRowCount="0" ref="A1:D1" displayName="Table_2" name="Table_2" id="2">
  <tableColumns count="4">
    <tableColumn name="Column1" id="1"/>
    <tableColumn name="Column2" id="2"/>
    <tableColumn name="Column3" id="3"/>
    <tableColumn name="Column4" id="4"/>
  </tableColumns>
  <tableStyleInfo name="Лист13-style" showColumnStripes="0" showFirstColumn="1" showLastColumn="1" showRowStripes="1"/>
</table>
</file>

<file path=xl/tables/table3.xml><?xml version="1.0" encoding="utf-8"?>
<table xmlns="http://schemas.openxmlformats.org/spreadsheetml/2006/main" headerRowCount="0" ref="A9:C27" displayName="Table_3" name="Table_3" id="3">
  <tableColumns count="3">
    <tableColumn name="Column1" id="1"/>
    <tableColumn name="Column2" id="2"/>
    <tableColumn name="Column3" id="3"/>
  </tableColumns>
  <tableStyleInfo name="Лист13-style 2" showColumnStripes="0" showFirstColumn="1" showLastColumn="1" showRowStripes="1"/>
</table>
</file>

<file path=xl/tables/table4.xml><?xml version="1.0" encoding="utf-8"?>
<table xmlns="http://schemas.openxmlformats.org/spreadsheetml/2006/main" headerRowCount="0" ref="A31:D66" displayName="Table_4" name="Table_4" id="4">
  <tableColumns count="4">
    <tableColumn name="Column1" id="1"/>
    <tableColumn name="Column2" id="2"/>
    <tableColumn name="Column3" id="3"/>
    <tableColumn name="Column4" id="4"/>
  </tableColumns>
  <tableStyleInfo name="Лист13-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C2C4D"/>
      </a:dk1>
      <a:lt1>
        <a:srgbClr val="FFFFFF"/>
      </a:lt1>
      <a:dk2>
        <a:srgbClr val="2C2C4D"/>
      </a:dk2>
      <a:lt2>
        <a:srgbClr val="FFFFFF"/>
      </a:lt2>
      <a:accent1>
        <a:srgbClr val="1D2384"/>
      </a:accent1>
      <a:accent2>
        <a:srgbClr val="E44819"/>
      </a:accent2>
      <a:accent3>
        <a:srgbClr val="F5A69B"/>
      </a:accent3>
      <a:accent4>
        <a:srgbClr val="A68057"/>
      </a:accent4>
      <a:accent5>
        <a:srgbClr val="F4AA11"/>
      </a:accent5>
      <a:accent6>
        <a:srgbClr val="D1EB60"/>
      </a:accent6>
      <a:hlink>
        <a:srgbClr val="CFE2F3"/>
      </a:hlink>
      <a:folHlink>
        <a:srgbClr val="CFE2F3"/>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9.33"/>
    <col customWidth="1" min="2" max="2" width="17.67"/>
    <col customWidth="1" min="4" max="4" width="23.33"/>
    <col customWidth="1" min="5" max="5" width="18.0"/>
    <col customWidth="1" min="7" max="7" width="39.56"/>
    <col customWidth="1" min="8" max="8" width="17.11"/>
    <col customWidth="1" min="11" max="11" width="34.78"/>
    <col customWidth="1" min="12" max="12" width="24.78"/>
  </cols>
  <sheetData>
    <row r="1">
      <c r="A1" s="1" t="s">
        <v>0</v>
      </c>
      <c r="B1" s="2"/>
      <c r="D1" s="1" t="s">
        <v>1</v>
      </c>
      <c r="E1" s="2"/>
      <c r="G1" s="1" t="s">
        <v>2</v>
      </c>
      <c r="H1" s="2"/>
    </row>
    <row r="2">
      <c r="A2" s="3" t="s">
        <v>3</v>
      </c>
      <c r="B2" s="3" t="s">
        <v>4</v>
      </c>
      <c r="D2" s="3" t="s">
        <v>3</v>
      </c>
      <c r="E2" s="3" t="s">
        <v>4</v>
      </c>
      <c r="G2" s="3" t="s">
        <v>3</v>
      </c>
      <c r="H2" s="3" t="s">
        <v>4</v>
      </c>
    </row>
    <row r="3">
      <c r="A3" s="4" t="s">
        <v>5</v>
      </c>
      <c r="B3" s="4">
        <v>3120.0</v>
      </c>
      <c r="D3" s="4" t="s">
        <v>6</v>
      </c>
      <c r="E3" s="4">
        <v>330.0</v>
      </c>
      <c r="G3" s="4" t="s">
        <v>7</v>
      </c>
      <c r="H3" s="5">
        <v>1500.0</v>
      </c>
    </row>
    <row r="4">
      <c r="A4" s="4" t="s">
        <v>8</v>
      </c>
      <c r="B4" s="4">
        <v>3670.0</v>
      </c>
      <c r="D4" s="4" t="s">
        <v>9</v>
      </c>
      <c r="E4" s="4">
        <v>5000.0</v>
      </c>
      <c r="G4" s="4" t="s">
        <v>10</v>
      </c>
      <c r="H4" s="4">
        <v>2100.0</v>
      </c>
    </row>
    <row r="5">
      <c r="A5" s="4" t="s">
        <v>11</v>
      </c>
      <c r="B5" s="4">
        <v>3300.0</v>
      </c>
      <c r="D5" s="4" t="s">
        <v>12</v>
      </c>
      <c r="E5" s="4">
        <v>1500.0</v>
      </c>
      <c r="G5" s="4" t="s">
        <v>13</v>
      </c>
      <c r="H5" s="4">
        <v>400.0</v>
      </c>
    </row>
    <row r="6">
      <c r="A6" s="4" t="s">
        <v>8</v>
      </c>
      <c r="B6" s="4">
        <v>3300.0</v>
      </c>
      <c r="D6" s="4" t="s">
        <v>14</v>
      </c>
      <c r="E6" s="4">
        <v>1000.0</v>
      </c>
      <c r="G6" s="4" t="s">
        <v>15</v>
      </c>
      <c r="H6" s="4">
        <v>1714.0</v>
      </c>
    </row>
    <row r="7">
      <c r="A7" s="4" t="s">
        <v>16</v>
      </c>
      <c r="B7" s="4">
        <v>3670.0</v>
      </c>
      <c r="D7" s="4" t="s">
        <v>17</v>
      </c>
      <c r="E7" s="4">
        <v>800.0</v>
      </c>
      <c r="G7" s="4" t="s">
        <v>18</v>
      </c>
      <c r="H7" s="4">
        <v>288.0</v>
      </c>
    </row>
    <row r="8">
      <c r="A8" s="4" t="s">
        <v>8</v>
      </c>
      <c r="B8" s="4">
        <v>3300.0</v>
      </c>
      <c r="D8" s="4" t="s">
        <v>19</v>
      </c>
      <c r="E8" s="4">
        <v>1835.0</v>
      </c>
      <c r="G8" s="6" t="s">
        <v>20</v>
      </c>
      <c r="H8" s="4">
        <v>4000.0</v>
      </c>
    </row>
    <row r="9">
      <c r="A9" s="4" t="s">
        <v>21</v>
      </c>
      <c r="B9" s="4">
        <v>4300.0</v>
      </c>
      <c r="D9" s="4" t="s">
        <v>22</v>
      </c>
      <c r="E9" s="4">
        <v>600.0</v>
      </c>
      <c r="G9" s="6" t="s">
        <v>23</v>
      </c>
      <c r="H9" s="4">
        <v>1300.0</v>
      </c>
    </row>
    <row r="10">
      <c r="A10" s="4" t="s">
        <v>8</v>
      </c>
      <c r="B10" s="4">
        <v>3300.0</v>
      </c>
      <c r="D10" s="4" t="s">
        <v>24</v>
      </c>
      <c r="E10" s="4">
        <v>2800.0</v>
      </c>
      <c r="G10" s="6" t="s">
        <v>25</v>
      </c>
      <c r="H10" s="4">
        <v>870.0</v>
      </c>
    </row>
    <row r="11">
      <c r="A11" s="4" t="s">
        <v>19</v>
      </c>
      <c r="B11" s="4">
        <v>1835.0</v>
      </c>
      <c r="D11" s="4" t="s">
        <v>26</v>
      </c>
      <c r="E11" s="4">
        <v>600.0</v>
      </c>
      <c r="G11" s="6" t="s">
        <v>27</v>
      </c>
      <c r="H11" s="4">
        <v>600.0</v>
      </c>
    </row>
    <row r="12">
      <c r="A12" s="4" t="s">
        <v>28</v>
      </c>
      <c r="B12" s="4">
        <v>31000.0</v>
      </c>
      <c r="D12" s="4" t="s">
        <v>29</v>
      </c>
      <c r="E12" s="4">
        <v>450.0</v>
      </c>
      <c r="G12" s="7" t="s">
        <v>27</v>
      </c>
      <c r="H12" s="4">
        <v>600.0</v>
      </c>
    </row>
    <row r="13">
      <c r="A13" s="4" t="s">
        <v>30</v>
      </c>
      <c r="B13" s="4">
        <v>800.0</v>
      </c>
      <c r="D13" s="4" t="s">
        <v>31</v>
      </c>
      <c r="E13" s="4">
        <v>700.0</v>
      </c>
      <c r="G13" s="6" t="s">
        <v>32</v>
      </c>
      <c r="H13" s="4">
        <v>950.0</v>
      </c>
    </row>
    <row r="14">
      <c r="A14" s="4" t="s">
        <v>33</v>
      </c>
      <c r="B14" s="4">
        <v>1500.0</v>
      </c>
      <c r="D14" s="4"/>
      <c r="E14" s="8"/>
      <c r="G14" s="6" t="s">
        <v>34</v>
      </c>
      <c r="H14" s="6">
        <v>3290.0</v>
      </c>
    </row>
    <row r="15">
      <c r="A15" s="3" t="s">
        <v>35</v>
      </c>
      <c r="B15" s="4">
        <v>315.0</v>
      </c>
      <c r="D15" s="4"/>
      <c r="E15" s="8"/>
      <c r="G15" s="6" t="s">
        <v>36</v>
      </c>
      <c r="H15" s="6">
        <v>800.0</v>
      </c>
    </row>
    <row r="16">
      <c r="A16" s="3"/>
      <c r="B16" s="8"/>
      <c r="D16" s="4"/>
      <c r="E16" s="8"/>
      <c r="G16" s="6" t="s">
        <v>27</v>
      </c>
      <c r="H16" s="6">
        <v>700.0</v>
      </c>
    </row>
    <row r="17">
      <c r="A17" s="3"/>
      <c r="B17" s="8"/>
      <c r="D17" s="3"/>
      <c r="E17" s="8"/>
      <c r="G17" s="6" t="s">
        <v>37</v>
      </c>
      <c r="H17" s="4">
        <v>300.0</v>
      </c>
    </row>
    <row r="18">
      <c r="A18" s="3"/>
      <c r="B18" s="8"/>
      <c r="D18" s="3"/>
      <c r="E18" s="8"/>
      <c r="G18" s="9" t="s">
        <v>28</v>
      </c>
      <c r="H18" s="10">
        <v>8000.0</v>
      </c>
    </row>
    <row r="19">
      <c r="A19" s="3"/>
      <c r="B19" s="8"/>
      <c r="D19" s="3"/>
      <c r="E19" s="8"/>
      <c r="G19" s="6" t="s">
        <v>38</v>
      </c>
      <c r="H19" s="4">
        <v>680.0</v>
      </c>
    </row>
    <row r="20">
      <c r="A20" s="3"/>
      <c r="B20" s="8"/>
      <c r="D20" s="3"/>
      <c r="E20" s="8"/>
      <c r="G20" s="6"/>
      <c r="H20" s="4"/>
    </row>
    <row r="21">
      <c r="A21" s="3"/>
      <c r="B21" s="8"/>
      <c r="D21" s="3"/>
      <c r="E21" s="8"/>
      <c r="G21" s="6" t="s">
        <v>39</v>
      </c>
      <c r="H21" s="4">
        <v>1670.0</v>
      </c>
    </row>
    <row r="22">
      <c r="A22" s="3"/>
      <c r="B22" s="8"/>
      <c r="D22" s="3"/>
      <c r="E22" s="8"/>
      <c r="G22" s="6" t="s">
        <v>40</v>
      </c>
      <c r="H22" s="4">
        <v>-15000.0</v>
      </c>
    </row>
    <row r="23">
      <c r="A23" s="3"/>
      <c r="B23" s="8"/>
      <c r="D23" s="3"/>
      <c r="E23" s="8"/>
      <c r="G23" s="6" t="s">
        <v>41</v>
      </c>
      <c r="H23" s="4">
        <v>270.0</v>
      </c>
    </row>
    <row r="24">
      <c r="A24" s="3"/>
      <c r="B24" s="8"/>
      <c r="D24" s="3"/>
      <c r="E24" s="8"/>
      <c r="G24" s="6" t="s">
        <v>42</v>
      </c>
      <c r="H24" s="4">
        <v>2000.0</v>
      </c>
    </row>
    <row r="25">
      <c r="A25" s="3" t="s">
        <v>43</v>
      </c>
      <c r="B25" s="8">
        <f>SUM(B3:B23)</f>
        <v>63410</v>
      </c>
      <c r="D25" s="3" t="s">
        <v>43</v>
      </c>
      <c r="E25" s="8">
        <f>SUM(E3:E16)</f>
        <v>15615</v>
      </c>
      <c r="G25" s="3" t="s">
        <v>43</v>
      </c>
      <c r="H25" s="11">
        <f>SUM(H3:H24)</f>
        <v>17032</v>
      </c>
    </row>
    <row r="28">
      <c r="A28" s="1" t="s">
        <v>44</v>
      </c>
      <c r="B28" s="2"/>
      <c r="D28" s="1" t="s">
        <v>45</v>
      </c>
      <c r="E28" s="2"/>
      <c r="G28" s="1" t="s">
        <v>46</v>
      </c>
      <c r="H28" s="2"/>
      <c r="K28" s="1" t="s">
        <v>44</v>
      </c>
      <c r="L28" s="2"/>
    </row>
    <row r="29">
      <c r="A29" s="3" t="s">
        <v>3</v>
      </c>
      <c r="B29" s="3" t="s">
        <v>4</v>
      </c>
      <c r="D29" s="3" t="s">
        <v>3</v>
      </c>
      <c r="E29" s="3" t="s">
        <v>4</v>
      </c>
      <c r="G29" s="3" t="s">
        <v>3</v>
      </c>
      <c r="H29" s="3" t="s">
        <v>4</v>
      </c>
      <c r="K29" s="3" t="s">
        <v>3</v>
      </c>
      <c r="L29" s="3" t="s">
        <v>4</v>
      </c>
    </row>
    <row r="30">
      <c r="A30" s="3" t="s">
        <v>47</v>
      </c>
      <c r="B30" s="12">
        <v>3750.0</v>
      </c>
      <c r="D30" s="4" t="s">
        <v>48</v>
      </c>
      <c r="E30" s="4">
        <v>17000.0</v>
      </c>
      <c r="G30" s="4" t="s">
        <v>49</v>
      </c>
      <c r="H30" s="4">
        <v>60000.0</v>
      </c>
      <c r="K30" s="3"/>
      <c r="L30" s="12"/>
    </row>
    <row r="31">
      <c r="A31" s="4" t="s">
        <v>50</v>
      </c>
      <c r="B31" s="4">
        <v>5500.0</v>
      </c>
      <c r="D31" s="4" t="s">
        <v>51</v>
      </c>
      <c r="E31" s="4">
        <v>8500.0</v>
      </c>
      <c r="G31" s="4" t="s">
        <v>52</v>
      </c>
      <c r="H31" s="4">
        <v>8000.0</v>
      </c>
      <c r="K31" s="4" t="s">
        <v>50</v>
      </c>
      <c r="L31" s="4">
        <v>5500.0</v>
      </c>
    </row>
    <row r="32">
      <c r="A32" s="4" t="s">
        <v>53</v>
      </c>
      <c r="B32" s="4">
        <v>150.0</v>
      </c>
      <c r="D32" s="4" t="s">
        <v>54</v>
      </c>
      <c r="E32" s="4">
        <v>10000.0</v>
      </c>
      <c r="G32" s="4" t="s">
        <v>55</v>
      </c>
      <c r="H32" s="4">
        <v>12500.0</v>
      </c>
      <c r="K32" s="4" t="s">
        <v>53</v>
      </c>
      <c r="L32" s="4">
        <v>150.0</v>
      </c>
    </row>
    <row r="33">
      <c r="A33" s="4" t="s">
        <v>56</v>
      </c>
      <c r="B33" s="4">
        <v>800.0</v>
      </c>
      <c r="D33" s="4" t="s">
        <v>57</v>
      </c>
      <c r="E33" s="4">
        <v>8440.0</v>
      </c>
      <c r="G33" s="13" t="s">
        <v>58</v>
      </c>
      <c r="H33" s="4">
        <v>3125.0</v>
      </c>
      <c r="K33" s="4" t="s">
        <v>56</v>
      </c>
      <c r="L33" s="4">
        <v>800.0</v>
      </c>
    </row>
    <row r="34">
      <c r="A34" s="4" t="s">
        <v>59</v>
      </c>
      <c r="B34" s="4">
        <v>3780.0</v>
      </c>
      <c r="D34" s="4" t="s">
        <v>60</v>
      </c>
      <c r="E34" s="4">
        <v>11000.0</v>
      </c>
      <c r="G34" s="4" t="s">
        <v>61</v>
      </c>
      <c r="H34" s="4">
        <v>16500.0</v>
      </c>
      <c r="K34" s="4" t="s">
        <v>59</v>
      </c>
      <c r="L34" s="4">
        <v>3780.0</v>
      </c>
    </row>
    <row r="35">
      <c r="A35" s="4" t="s">
        <v>62</v>
      </c>
      <c r="B35" s="4">
        <v>1000.0</v>
      </c>
      <c r="D35" s="4" t="s">
        <v>63</v>
      </c>
      <c r="E35" s="4">
        <v>2000.0</v>
      </c>
      <c r="G35" s="4" t="s">
        <v>64</v>
      </c>
      <c r="H35" s="4">
        <v>40000.0</v>
      </c>
      <c r="K35" s="4" t="s">
        <v>62</v>
      </c>
      <c r="L35" s="4">
        <v>1000.0</v>
      </c>
    </row>
    <row r="36">
      <c r="A36" s="4" t="s">
        <v>65</v>
      </c>
      <c r="B36" s="4">
        <v>5152.0</v>
      </c>
      <c r="D36" s="4" t="s">
        <v>66</v>
      </c>
      <c r="E36" s="4">
        <v>22000.0</v>
      </c>
      <c r="G36" s="4" t="s">
        <v>67</v>
      </c>
      <c r="H36" s="4">
        <v>14000.0</v>
      </c>
      <c r="K36" s="4" t="s">
        <v>65</v>
      </c>
      <c r="L36" s="4">
        <v>5152.0</v>
      </c>
    </row>
    <row r="37">
      <c r="A37" s="4" t="s">
        <v>68</v>
      </c>
      <c r="B37" s="4">
        <v>1800.0</v>
      </c>
      <c r="D37" s="4" t="s">
        <v>69</v>
      </c>
      <c r="E37" s="4">
        <v>3670.0</v>
      </c>
      <c r="G37" s="3"/>
      <c r="H37" s="8"/>
      <c r="K37" s="4" t="s">
        <v>68</v>
      </c>
      <c r="L37" s="4">
        <v>1800.0</v>
      </c>
    </row>
    <row r="38">
      <c r="A38" s="4" t="s">
        <v>59</v>
      </c>
      <c r="B38" s="4">
        <v>3780.0</v>
      </c>
      <c r="D38" s="4" t="s">
        <v>70</v>
      </c>
      <c r="E38" s="4">
        <v>10500.0</v>
      </c>
      <c r="G38" s="3"/>
      <c r="H38" s="8"/>
      <c r="K38" s="4" t="s">
        <v>59</v>
      </c>
      <c r="L38" s="4">
        <v>3780.0</v>
      </c>
    </row>
    <row r="39">
      <c r="A39" s="4" t="s">
        <v>71</v>
      </c>
      <c r="B39" s="4">
        <v>7500.0</v>
      </c>
      <c r="D39" s="3"/>
      <c r="E39" s="8"/>
      <c r="G39" s="3"/>
      <c r="H39" s="8"/>
      <c r="K39" s="4" t="s">
        <v>71</v>
      </c>
      <c r="L39" s="4">
        <v>7500.0</v>
      </c>
    </row>
    <row r="40">
      <c r="A40" s="4" t="s">
        <v>72</v>
      </c>
      <c r="B40" s="4">
        <v>750.0</v>
      </c>
      <c r="D40" s="3"/>
      <c r="E40" s="8"/>
      <c r="G40" s="3"/>
      <c r="H40" s="8"/>
      <c r="K40" s="4" t="s">
        <v>72</v>
      </c>
      <c r="L40" s="4">
        <v>750.0</v>
      </c>
    </row>
    <row r="41">
      <c r="A41" s="4" t="s">
        <v>59</v>
      </c>
      <c r="B41" s="4">
        <v>3750.0</v>
      </c>
      <c r="D41" s="3"/>
      <c r="E41" s="8"/>
      <c r="G41" s="3"/>
      <c r="H41" s="8"/>
      <c r="K41" s="4" t="s">
        <v>59</v>
      </c>
      <c r="L41" s="4">
        <v>3750.0</v>
      </c>
    </row>
    <row r="42">
      <c r="A42" s="4" t="s">
        <v>73</v>
      </c>
      <c r="B42" s="4">
        <v>550.0</v>
      </c>
      <c r="D42" s="3"/>
      <c r="E42" s="8"/>
      <c r="G42" s="3"/>
      <c r="H42" s="8"/>
      <c r="K42" s="4" t="s">
        <v>73</v>
      </c>
      <c r="L42" s="4">
        <v>550.0</v>
      </c>
    </row>
    <row r="43">
      <c r="A43" s="4" t="s">
        <v>74</v>
      </c>
      <c r="B43" s="4">
        <v>325.0</v>
      </c>
      <c r="D43" s="3"/>
      <c r="E43" s="8"/>
      <c r="G43" s="3"/>
      <c r="H43" s="8"/>
      <c r="K43" s="4" t="s">
        <v>74</v>
      </c>
      <c r="L43" s="4">
        <v>325.0</v>
      </c>
    </row>
    <row r="44">
      <c r="A44" s="4" t="s">
        <v>75</v>
      </c>
      <c r="B44" s="4">
        <v>50.0</v>
      </c>
      <c r="D44" s="3"/>
      <c r="E44" s="8"/>
      <c r="G44" s="3"/>
      <c r="H44" s="8"/>
      <c r="K44" s="4" t="s">
        <v>75</v>
      </c>
      <c r="L44" s="4">
        <v>50.0</v>
      </c>
    </row>
    <row r="45">
      <c r="A45" s="4" t="s">
        <v>76</v>
      </c>
      <c r="B45" s="4">
        <v>900.0</v>
      </c>
      <c r="D45" s="3"/>
      <c r="E45" s="8"/>
      <c r="G45" s="3"/>
      <c r="H45" s="8"/>
      <c r="K45" s="4" t="s">
        <v>76</v>
      </c>
      <c r="L45" s="4">
        <v>900.0</v>
      </c>
    </row>
    <row r="46">
      <c r="A46" s="3" t="s">
        <v>77</v>
      </c>
      <c r="B46" s="3">
        <v>3000.0</v>
      </c>
      <c r="D46" s="3"/>
      <c r="E46" s="8"/>
      <c r="G46" s="3"/>
      <c r="H46" s="8"/>
      <c r="K46" s="3"/>
      <c r="L46" s="3"/>
    </row>
    <row r="47">
      <c r="A47" s="3" t="s">
        <v>78</v>
      </c>
      <c r="B47" s="3">
        <v>11500.0</v>
      </c>
      <c r="D47" s="3"/>
      <c r="E47" s="8"/>
      <c r="G47" s="3"/>
      <c r="H47" s="8"/>
      <c r="K47" s="3"/>
      <c r="L47" s="3"/>
    </row>
    <row r="48">
      <c r="A48" s="4" t="s">
        <v>79</v>
      </c>
      <c r="B48" s="4">
        <v>1125.0</v>
      </c>
      <c r="D48" s="3"/>
      <c r="E48" s="8"/>
      <c r="G48" s="3"/>
      <c r="H48" s="8"/>
      <c r="K48" s="4" t="s">
        <v>79</v>
      </c>
      <c r="L48" s="4">
        <v>1125.0</v>
      </c>
    </row>
    <row r="49">
      <c r="A49" s="3" t="s">
        <v>80</v>
      </c>
      <c r="B49" s="3">
        <v>1890.0</v>
      </c>
      <c r="D49" s="3"/>
      <c r="E49" s="8"/>
      <c r="G49" s="3"/>
      <c r="H49" s="8"/>
      <c r="K49" s="3"/>
      <c r="L49" s="3"/>
    </row>
    <row r="50">
      <c r="A50" s="4" t="s">
        <v>81</v>
      </c>
      <c r="B50" s="4">
        <v>4000.0</v>
      </c>
      <c r="D50" s="3"/>
      <c r="E50" s="8"/>
      <c r="G50" s="3"/>
      <c r="H50" s="8"/>
      <c r="K50" s="4" t="s">
        <v>81</v>
      </c>
      <c r="L50" s="4">
        <v>4000.0</v>
      </c>
    </row>
    <row r="51">
      <c r="A51" s="3" t="s">
        <v>82</v>
      </c>
      <c r="B51" s="3">
        <v>15000.0</v>
      </c>
      <c r="D51" s="3"/>
      <c r="E51" s="8"/>
      <c r="G51" s="3"/>
      <c r="H51" s="8"/>
      <c r="K51" s="3"/>
      <c r="L51" s="3"/>
    </row>
    <row r="52">
      <c r="A52" s="4" t="s">
        <v>83</v>
      </c>
      <c r="B52" s="4">
        <v>1200.0</v>
      </c>
      <c r="D52" s="3"/>
      <c r="E52" s="8"/>
      <c r="G52" s="3"/>
      <c r="H52" s="8"/>
      <c r="K52" s="4" t="s">
        <v>83</v>
      </c>
      <c r="L52" s="4">
        <v>1200.0</v>
      </c>
    </row>
    <row r="53">
      <c r="A53" s="3" t="s">
        <v>84</v>
      </c>
      <c r="B53" s="3">
        <v>5000.0</v>
      </c>
      <c r="D53" s="3"/>
      <c r="E53" s="8"/>
      <c r="G53" s="3"/>
      <c r="H53" s="8"/>
      <c r="K53" s="3"/>
      <c r="L53" s="3"/>
    </row>
    <row r="54">
      <c r="A54" s="3" t="s">
        <v>85</v>
      </c>
      <c r="B54" s="3">
        <v>1050.0</v>
      </c>
      <c r="D54" s="3"/>
      <c r="E54" s="8"/>
      <c r="G54" s="3"/>
      <c r="H54" s="8"/>
      <c r="K54" s="3" t="s">
        <v>86</v>
      </c>
      <c r="L54" s="3">
        <v>-15000.0</v>
      </c>
    </row>
    <row r="55">
      <c r="A55" s="4" t="s">
        <v>87</v>
      </c>
      <c r="B55" s="4">
        <v>500.0</v>
      </c>
      <c r="D55" s="3"/>
      <c r="E55" s="8"/>
      <c r="G55" s="3"/>
      <c r="H55" s="8"/>
      <c r="K55" s="4" t="s">
        <v>87</v>
      </c>
      <c r="L55" s="4">
        <v>500.0</v>
      </c>
    </row>
    <row r="56">
      <c r="A56" s="4" t="s">
        <v>88</v>
      </c>
      <c r="B56" s="4">
        <v>2900.0</v>
      </c>
      <c r="D56" s="3"/>
      <c r="E56" s="8"/>
      <c r="G56" s="3"/>
      <c r="H56" s="8"/>
      <c r="K56" s="4" t="s">
        <v>88</v>
      </c>
      <c r="L56" s="4">
        <v>2900.0</v>
      </c>
    </row>
    <row r="57">
      <c r="A57" s="4" t="s">
        <v>89</v>
      </c>
      <c r="B57" s="4">
        <v>4300.0</v>
      </c>
      <c r="D57" s="3"/>
      <c r="E57" s="8"/>
      <c r="G57" s="3"/>
      <c r="H57" s="8"/>
      <c r="K57" s="4" t="s">
        <v>89</v>
      </c>
      <c r="L57" s="4">
        <v>4300.0</v>
      </c>
    </row>
    <row r="58">
      <c r="A58" s="4" t="s">
        <v>90</v>
      </c>
      <c r="B58" s="4">
        <v>750.0</v>
      </c>
      <c r="D58" s="3"/>
      <c r="E58" s="8"/>
      <c r="G58" s="3"/>
      <c r="H58" s="8"/>
      <c r="K58" s="4" t="s">
        <v>90</v>
      </c>
      <c r="L58" s="4">
        <v>750.0</v>
      </c>
    </row>
    <row r="59">
      <c r="A59" s="4" t="s">
        <v>91</v>
      </c>
      <c r="B59" s="4">
        <v>2000.0</v>
      </c>
      <c r="D59" s="3"/>
      <c r="E59" s="8"/>
      <c r="G59" s="3"/>
      <c r="H59" s="8"/>
      <c r="K59" s="4" t="s">
        <v>91</v>
      </c>
      <c r="L59" s="4">
        <v>2000.0</v>
      </c>
    </row>
    <row r="60">
      <c r="A60" s="4" t="s">
        <v>92</v>
      </c>
      <c r="B60" s="4">
        <v>1500.0</v>
      </c>
      <c r="D60" s="3"/>
      <c r="E60" s="8"/>
      <c r="G60" s="3"/>
      <c r="H60" s="8"/>
      <c r="K60" s="4" t="s">
        <v>92</v>
      </c>
      <c r="L60" s="4">
        <v>1500.0</v>
      </c>
    </row>
    <row r="61">
      <c r="A61" s="4" t="s">
        <v>93</v>
      </c>
      <c r="B61" s="4">
        <v>315.0</v>
      </c>
      <c r="D61" s="3"/>
      <c r="E61" s="8"/>
      <c r="G61" s="3"/>
      <c r="H61" s="8"/>
      <c r="K61" s="4" t="s">
        <v>93</v>
      </c>
      <c r="L61" s="4">
        <v>315.0</v>
      </c>
    </row>
    <row r="62">
      <c r="A62" s="4"/>
      <c r="B62" s="4"/>
      <c r="D62" s="3"/>
      <c r="E62" s="8"/>
      <c r="G62" s="3"/>
      <c r="H62" s="8"/>
      <c r="K62" s="4" t="s">
        <v>94</v>
      </c>
      <c r="L62" s="4">
        <v>1500.0</v>
      </c>
    </row>
    <row r="63">
      <c r="A63" s="4"/>
      <c r="B63" s="4"/>
      <c r="D63" s="3"/>
      <c r="E63" s="8"/>
      <c r="G63" s="3"/>
      <c r="H63" s="8"/>
      <c r="K63" s="4" t="s">
        <v>93</v>
      </c>
      <c r="L63" s="4">
        <v>1500.0</v>
      </c>
    </row>
    <row r="64">
      <c r="A64" s="4"/>
      <c r="B64" s="4"/>
      <c r="D64" s="3"/>
      <c r="E64" s="8"/>
      <c r="G64" s="3"/>
      <c r="H64" s="8"/>
      <c r="K64" s="4" t="s">
        <v>95</v>
      </c>
      <c r="L64" s="4">
        <v>344.0</v>
      </c>
    </row>
    <row r="65">
      <c r="A65" s="4"/>
      <c r="B65" s="4"/>
      <c r="D65" s="3"/>
      <c r="E65" s="8"/>
      <c r="G65" s="3"/>
      <c r="H65" s="8"/>
      <c r="K65" s="4" t="s">
        <v>96</v>
      </c>
      <c r="L65" s="4">
        <v>1360.0</v>
      </c>
    </row>
    <row r="66" ht="25.5" customHeight="1">
      <c r="A66" s="4"/>
      <c r="B66" s="4"/>
      <c r="D66" s="3"/>
      <c r="E66" s="8"/>
      <c r="G66" s="3"/>
      <c r="H66" s="8"/>
      <c r="K66" s="4" t="s">
        <v>97</v>
      </c>
      <c r="L66" s="4">
        <v>749.0</v>
      </c>
    </row>
    <row r="67" hidden="1">
      <c r="A67" s="4"/>
      <c r="B67" s="4"/>
      <c r="D67" s="3"/>
      <c r="E67" s="8"/>
      <c r="G67" s="3"/>
      <c r="H67" s="8"/>
      <c r="K67" s="4"/>
      <c r="L67" s="4"/>
    </row>
    <row r="68" hidden="1">
      <c r="A68" s="4"/>
      <c r="B68" s="4"/>
      <c r="D68" s="3"/>
      <c r="E68" s="8"/>
      <c r="G68" s="3"/>
      <c r="H68" s="8"/>
      <c r="K68" s="4"/>
      <c r="L68" s="4"/>
    </row>
    <row r="69" hidden="1">
      <c r="A69" s="4"/>
      <c r="B69" s="4"/>
      <c r="D69" s="3"/>
      <c r="E69" s="8"/>
      <c r="G69" s="3"/>
      <c r="H69" s="8"/>
      <c r="K69" s="4"/>
      <c r="L69" s="4"/>
    </row>
    <row r="70">
      <c r="A70" s="3" t="s">
        <v>43</v>
      </c>
      <c r="B70" s="8">
        <f>SUM(B30:B61)</f>
        <v>95567</v>
      </c>
      <c r="D70" s="3" t="s">
        <v>43</v>
      </c>
      <c r="E70" s="8">
        <f>SUM(E30:E38)</f>
        <v>93110</v>
      </c>
      <c r="G70" s="3" t="s">
        <v>43</v>
      </c>
      <c r="H70" s="8">
        <f>SUM(H30:H47)</f>
        <v>154125</v>
      </c>
      <c r="K70" s="3" t="s">
        <v>43</v>
      </c>
      <c r="L70" s="8">
        <f>SUM(L30:L69)</f>
        <v>44830</v>
      </c>
    </row>
  </sheetData>
  <mergeCells count="7">
    <mergeCell ref="A1:B1"/>
    <mergeCell ref="D1:E1"/>
    <mergeCell ref="G1:H1"/>
    <mergeCell ref="A28:B28"/>
    <mergeCell ref="D28:E28"/>
    <mergeCell ref="G28:H28"/>
    <mergeCell ref="K28:L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7.33"/>
    <col customWidth="1" min="2" max="2" width="20.56"/>
    <col customWidth="1" min="3" max="3" width="14.67"/>
  </cols>
  <sheetData>
    <row r="1">
      <c r="A1" s="1" t="s">
        <v>98</v>
      </c>
      <c r="B1" s="14"/>
      <c r="C1" s="2"/>
    </row>
    <row r="2">
      <c r="A2" s="15" t="s">
        <v>99</v>
      </c>
      <c r="B2" s="15" t="s">
        <v>100</v>
      </c>
      <c r="C2" s="15" t="s">
        <v>101</v>
      </c>
    </row>
    <row r="3">
      <c r="A3" s="16">
        <v>45257.0</v>
      </c>
      <c r="B3" s="17" t="s">
        <v>102</v>
      </c>
      <c r="C3" s="18">
        <v>400.0</v>
      </c>
    </row>
    <row r="4">
      <c r="A4" s="16">
        <v>45258.0</v>
      </c>
      <c r="B4" s="17" t="s">
        <v>103</v>
      </c>
      <c r="C4" s="18">
        <v>460.0</v>
      </c>
    </row>
    <row r="5">
      <c r="A5" s="16">
        <v>45258.0</v>
      </c>
      <c r="B5" s="17" t="s">
        <v>104</v>
      </c>
      <c r="C5" s="18">
        <v>297.0</v>
      </c>
    </row>
    <row r="6">
      <c r="A6" s="16">
        <v>45268.0</v>
      </c>
      <c r="B6" s="17" t="s">
        <v>105</v>
      </c>
      <c r="C6" s="18">
        <v>1086.0</v>
      </c>
    </row>
    <row r="7">
      <c r="A7" s="16">
        <v>45268.0</v>
      </c>
      <c r="B7" s="17" t="s">
        <v>106</v>
      </c>
      <c r="C7" s="18">
        <v>300.0</v>
      </c>
    </row>
    <row r="8">
      <c r="A8" s="16">
        <v>45271.0</v>
      </c>
      <c r="B8" s="17" t="s">
        <v>107</v>
      </c>
      <c r="C8" s="18">
        <v>310.0</v>
      </c>
    </row>
    <row r="9">
      <c r="A9" s="16">
        <v>45275.0</v>
      </c>
      <c r="B9" s="17" t="s">
        <v>108</v>
      </c>
      <c r="C9" s="18">
        <v>3101.0</v>
      </c>
    </row>
    <row r="10">
      <c r="A10" s="16">
        <v>45279.0</v>
      </c>
      <c r="B10" s="19" t="s">
        <v>109</v>
      </c>
      <c r="C10" s="18">
        <v>6944.0</v>
      </c>
    </row>
    <row r="11">
      <c r="A11" s="16">
        <v>45280.0</v>
      </c>
      <c r="B11" s="17" t="s">
        <v>103</v>
      </c>
      <c r="C11" s="18">
        <v>240.0</v>
      </c>
    </row>
    <row r="12">
      <c r="A12" s="16">
        <v>45282.0</v>
      </c>
      <c r="B12" s="17" t="s">
        <v>110</v>
      </c>
      <c r="C12" s="18">
        <v>564.0</v>
      </c>
    </row>
    <row r="13">
      <c r="A13" s="16">
        <v>45290.0</v>
      </c>
      <c r="B13" s="17" t="s">
        <v>103</v>
      </c>
      <c r="C13" s="18">
        <v>1106.0</v>
      </c>
    </row>
    <row r="14">
      <c r="A14" s="16">
        <v>45306.0</v>
      </c>
      <c r="B14" s="17" t="s">
        <v>111</v>
      </c>
      <c r="C14" s="18">
        <v>500.0</v>
      </c>
    </row>
    <row r="15">
      <c r="A15" s="16">
        <v>45307.0</v>
      </c>
      <c r="B15" s="17" t="s">
        <v>2</v>
      </c>
      <c r="C15" s="18">
        <v>585.0</v>
      </c>
    </row>
    <row r="16">
      <c r="A16" s="16">
        <v>45310.0</v>
      </c>
      <c r="B16" s="17" t="s">
        <v>112</v>
      </c>
      <c r="C16" s="18">
        <v>542.0</v>
      </c>
    </row>
    <row r="17">
      <c r="A17" s="16">
        <v>45316.0</v>
      </c>
      <c r="B17" s="17" t="s">
        <v>113</v>
      </c>
      <c r="C17" s="18">
        <v>980.0</v>
      </c>
    </row>
    <row r="18">
      <c r="A18" s="16">
        <v>45317.0</v>
      </c>
      <c r="B18" s="17" t="s">
        <v>114</v>
      </c>
      <c r="C18" s="18">
        <v>1248.0</v>
      </c>
    </row>
    <row r="19">
      <c r="A19" s="16">
        <v>45326.0</v>
      </c>
      <c r="B19" s="17" t="s">
        <v>115</v>
      </c>
      <c r="C19" s="18">
        <v>143.0</v>
      </c>
    </row>
    <row r="20">
      <c r="A20" s="16">
        <v>45326.0</v>
      </c>
      <c r="B20" s="17" t="s">
        <v>116</v>
      </c>
      <c r="C20" s="18">
        <v>120.0</v>
      </c>
    </row>
    <row r="21">
      <c r="A21" s="16">
        <v>45329.0</v>
      </c>
      <c r="B21" s="17" t="s">
        <v>117</v>
      </c>
      <c r="C21" s="18">
        <v>1432.0</v>
      </c>
    </row>
    <row r="22">
      <c r="A22" s="16">
        <v>45336.0</v>
      </c>
      <c r="B22" s="17" t="s">
        <v>118</v>
      </c>
      <c r="C22" s="18">
        <v>781.0</v>
      </c>
    </row>
    <row r="23">
      <c r="A23" s="16">
        <v>45337.0</v>
      </c>
      <c r="B23" s="17" t="s">
        <v>119</v>
      </c>
      <c r="C23" s="18">
        <v>11317.0</v>
      </c>
    </row>
    <row r="24">
      <c r="A24" s="16">
        <v>45341.0</v>
      </c>
      <c r="B24" s="17" t="s">
        <v>120</v>
      </c>
      <c r="C24" s="18">
        <v>620.0</v>
      </c>
    </row>
    <row r="25">
      <c r="A25" s="16">
        <v>45341.0</v>
      </c>
      <c r="B25" s="17" t="s">
        <v>121</v>
      </c>
      <c r="C25" s="18">
        <v>280.0</v>
      </c>
    </row>
    <row r="26">
      <c r="A26" s="16">
        <v>45365.0</v>
      </c>
      <c r="B26" s="17" t="s">
        <v>122</v>
      </c>
      <c r="C26" s="18">
        <v>340.0</v>
      </c>
    </row>
    <row r="27">
      <c r="A27" s="16">
        <v>45365.0</v>
      </c>
      <c r="B27" s="17" t="s">
        <v>123</v>
      </c>
      <c r="C27" s="18">
        <v>410.0</v>
      </c>
    </row>
    <row r="28">
      <c r="A28" s="16">
        <v>45365.0</v>
      </c>
      <c r="B28" s="17" t="s">
        <v>124</v>
      </c>
      <c r="C28" s="18">
        <v>603.0</v>
      </c>
    </row>
    <row r="29">
      <c r="A29" s="16">
        <v>45365.0</v>
      </c>
      <c r="B29" s="17" t="s">
        <v>125</v>
      </c>
      <c r="C29" s="18">
        <v>273.0</v>
      </c>
    </row>
    <row r="30">
      <c r="A30" s="16">
        <v>45365.0</v>
      </c>
      <c r="B30" s="17" t="s">
        <v>126</v>
      </c>
      <c r="C30" s="18">
        <v>1200.0</v>
      </c>
    </row>
    <row r="31">
      <c r="A31" s="16"/>
      <c r="B31" s="17"/>
      <c r="C31" s="18"/>
    </row>
    <row r="32">
      <c r="A32" s="16"/>
      <c r="B32" s="17"/>
      <c r="C32" s="18"/>
    </row>
    <row r="33">
      <c r="A33" s="16"/>
      <c r="B33" s="17"/>
      <c r="C33" s="18"/>
    </row>
    <row r="34">
      <c r="A34" s="16"/>
      <c r="B34" s="17"/>
      <c r="C34" s="18"/>
    </row>
    <row r="35">
      <c r="A35" s="16"/>
      <c r="B35" s="17"/>
      <c r="C35" s="18"/>
    </row>
    <row r="36">
      <c r="A36" s="16"/>
      <c r="B36" s="17"/>
      <c r="C36" s="18"/>
    </row>
    <row r="37">
      <c r="A37" s="16"/>
      <c r="B37" s="17"/>
      <c r="C37" s="18"/>
    </row>
    <row r="38">
      <c r="A38" s="16"/>
      <c r="B38" s="17"/>
      <c r="C38" s="18"/>
    </row>
    <row r="39">
      <c r="A39" s="16"/>
      <c r="B39" s="17"/>
      <c r="C39" s="18"/>
    </row>
    <row r="40">
      <c r="A40" s="16"/>
      <c r="B40" s="17"/>
      <c r="C40" s="18"/>
    </row>
    <row r="41">
      <c r="A41" s="20" t="s">
        <v>43</v>
      </c>
      <c r="B41" s="21"/>
      <c r="C41" s="22">
        <f>SUM(C3:C40)</f>
        <v>36182</v>
      </c>
    </row>
  </sheetData>
  <mergeCells count="2">
    <mergeCell ref="A1:C1"/>
    <mergeCell ref="A41:B4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75"/>
  <cols>
    <col customWidth="1" min="1" max="1" width="2.78"/>
    <col customWidth="1" min="2" max="3" width="13.11"/>
    <col customWidth="1" min="4" max="4" width="21.11"/>
    <col customWidth="1" min="5" max="6" width="19.67"/>
    <col customWidth="1" min="7" max="7" width="14.11"/>
    <col customWidth="1" min="8" max="8" width="19.56"/>
    <col customWidth="1" min="9" max="9" width="16.0"/>
    <col customWidth="1" min="10" max="10" width="14.11"/>
    <col customWidth="1" min="11" max="11" width="9.56"/>
    <col customWidth="1" min="12" max="12" width="13.67"/>
    <col customWidth="1" min="13" max="16" width="18.11"/>
    <col customWidth="1" min="17" max="19" width="16.78"/>
    <col customWidth="1" min="20" max="20" width="25.56"/>
    <col customWidth="1" min="21" max="21" width="33.89"/>
    <col customWidth="1" min="22" max="23" width="21.11"/>
    <col customWidth="1" min="24" max="24" width="16.67"/>
  </cols>
  <sheetData>
    <row r="1">
      <c r="A1" s="23" t="s">
        <v>127</v>
      </c>
      <c r="B1" s="24" t="s">
        <v>99</v>
      </c>
      <c r="C1" s="25" t="s">
        <v>128</v>
      </c>
      <c r="D1" s="26" t="s">
        <v>129</v>
      </c>
      <c r="E1" s="27" t="s">
        <v>130</v>
      </c>
      <c r="F1" s="27" t="s">
        <v>131</v>
      </c>
      <c r="G1" s="28" t="s">
        <v>132</v>
      </c>
      <c r="H1" s="24" t="s">
        <v>133</v>
      </c>
      <c r="I1" s="29" t="s">
        <v>134</v>
      </c>
      <c r="J1" s="28" t="s">
        <v>135</v>
      </c>
      <c r="K1" s="30" t="s">
        <v>136</v>
      </c>
      <c r="L1" s="29" t="s">
        <v>137</v>
      </c>
      <c r="M1" s="28" t="s">
        <v>138</v>
      </c>
      <c r="N1" s="28" t="s">
        <v>139</v>
      </c>
      <c r="O1" s="30" t="s">
        <v>45</v>
      </c>
      <c r="P1" s="31" t="s">
        <v>140</v>
      </c>
      <c r="Q1" s="29" t="s">
        <v>141</v>
      </c>
      <c r="R1" s="32" t="s">
        <v>142</v>
      </c>
      <c r="S1" s="32" t="s">
        <v>143</v>
      </c>
      <c r="T1" s="29" t="s">
        <v>144</v>
      </c>
      <c r="U1" s="29" t="s">
        <v>145</v>
      </c>
      <c r="V1" s="29" t="s">
        <v>146</v>
      </c>
      <c r="W1" s="29" t="s">
        <v>147</v>
      </c>
      <c r="X1" s="29" t="s">
        <v>148</v>
      </c>
      <c r="Y1" s="33" t="s">
        <v>149</v>
      </c>
    </row>
    <row r="2">
      <c r="A2" s="34" t="b">
        <v>0</v>
      </c>
      <c r="B2" s="35">
        <v>45237.0</v>
      </c>
      <c r="C2" s="18" t="s">
        <v>150</v>
      </c>
      <c r="D2" s="36" t="s">
        <v>151</v>
      </c>
      <c r="E2" s="37" t="s">
        <v>152</v>
      </c>
      <c r="F2" s="37" t="s">
        <v>153</v>
      </c>
      <c r="G2" s="38">
        <v>2060952.0</v>
      </c>
      <c r="H2" s="35" t="s">
        <v>154</v>
      </c>
      <c r="I2" s="39">
        <v>5.0</v>
      </c>
      <c r="J2" s="38">
        <f t="shared" ref="J2:J4" si="1">(G2*I2)/100</f>
        <v>103047.6</v>
      </c>
      <c r="K2" s="38">
        <f t="shared" ref="K2:K278" si="2">J2*0.05</f>
        <v>5152.38</v>
      </c>
      <c r="L2" s="39">
        <v>80.0</v>
      </c>
      <c r="M2" s="38">
        <f>(J2*L2)/100</f>
        <v>82438.08</v>
      </c>
      <c r="N2" s="38">
        <v>5125.0</v>
      </c>
      <c r="O2" s="38"/>
      <c r="P2" s="38"/>
      <c r="Q2" s="40">
        <f t="shared" ref="Q2:Q7" si="3">J2-M2-N2</f>
        <v>15484.52</v>
      </c>
      <c r="R2" s="39"/>
      <c r="S2" s="39"/>
      <c r="T2" s="39" t="s">
        <v>143</v>
      </c>
      <c r="U2" s="39" t="s">
        <v>155</v>
      </c>
      <c r="V2" s="39" t="s">
        <v>155</v>
      </c>
      <c r="W2" s="39" t="s">
        <v>156</v>
      </c>
      <c r="X2" s="41"/>
      <c r="Y2" s="42"/>
      <c r="Z2" s="42"/>
      <c r="AA2" s="42"/>
      <c r="AB2" s="42"/>
      <c r="AC2" s="42"/>
      <c r="AD2" s="42"/>
      <c r="AE2" s="42"/>
      <c r="AF2" s="42"/>
      <c r="AG2" s="42"/>
      <c r="AH2" s="42"/>
      <c r="AI2" s="42"/>
      <c r="AJ2" s="42"/>
      <c r="AK2" s="42"/>
      <c r="AL2" s="42"/>
    </row>
    <row r="3">
      <c r="A3" s="34" t="b">
        <v>0</v>
      </c>
      <c r="B3" s="35">
        <v>45261.0</v>
      </c>
      <c r="C3" s="18" t="s">
        <v>157</v>
      </c>
      <c r="D3" s="36" t="s">
        <v>158</v>
      </c>
      <c r="E3" s="37" t="s">
        <v>159</v>
      </c>
      <c r="F3" s="37" t="s">
        <v>160</v>
      </c>
      <c r="G3" s="38">
        <v>895350.0</v>
      </c>
      <c r="H3" s="39" t="s">
        <v>161</v>
      </c>
      <c r="I3" s="39">
        <v>7.0</v>
      </c>
      <c r="J3" s="38">
        <f t="shared" si="1"/>
        <v>62674.5</v>
      </c>
      <c r="K3" s="38">
        <f t="shared" si="2"/>
        <v>3133.725</v>
      </c>
      <c r="L3" s="39">
        <v>25.0</v>
      </c>
      <c r="M3" s="38">
        <f t="shared" ref="M3:M4" si="4">(J3-N3)*0.25</f>
        <v>11191.875</v>
      </c>
      <c r="N3" s="38">
        <f t="shared" ref="N3:N4" si="5">J3/7*2</f>
        <v>17907</v>
      </c>
      <c r="O3" s="38"/>
      <c r="P3" s="38"/>
      <c r="Q3" s="40">
        <f t="shared" si="3"/>
        <v>33575.625</v>
      </c>
      <c r="R3" s="39"/>
      <c r="S3" s="39"/>
      <c r="T3" s="39" t="s">
        <v>143</v>
      </c>
      <c r="U3" s="39" t="s">
        <v>155</v>
      </c>
      <c r="V3" s="39" t="s">
        <v>155</v>
      </c>
      <c r="W3" s="39" t="s">
        <v>156</v>
      </c>
      <c r="X3" s="43"/>
      <c r="Y3" s="44"/>
      <c r="Z3" s="44"/>
      <c r="AA3" s="44"/>
      <c r="AB3" s="44"/>
      <c r="AC3" s="44"/>
      <c r="AD3" s="44"/>
      <c r="AE3" s="44"/>
      <c r="AF3" s="44"/>
      <c r="AG3" s="44"/>
      <c r="AH3" s="44"/>
      <c r="AI3" s="44"/>
      <c r="AJ3" s="44"/>
      <c r="AK3" s="44"/>
      <c r="AL3" s="44"/>
    </row>
    <row r="4">
      <c r="A4" s="34" t="b">
        <v>0</v>
      </c>
      <c r="B4" s="35">
        <v>45261.0</v>
      </c>
      <c r="C4" s="18" t="s">
        <v>157</v>
      </c>
      <c r="D4" s="36" t="s">
        <v>162</v>
      </c>
      <c r="E4" s="37" t="s">
        <v>159</v>
      </c>
      <c r="F4" s="37" t="s">
        <v>160</v>
      </c>
      <c r="G4" s="38">
        <v>897255.0</v>
      </c>
      <c r="H4" s="39" t="s">
        <v>161</v>
      </c>
      <c r="I4" s="39">
        <v>7.0</v>
      </c>
      <c r="J4" s="38">
        <f t="shared" si="1"/>
        <v>62807.85</v>
      </c>
      <c r="K4" s="38">
        <f t="shared" si="2"/>
        <v>3140.3925</v>
      </c>
      <c r="L4" s="39">
        <v>25.0</v>
      </c>
      <c r="M4" s="38">
        <f t="shared" si="4"/>
        <v>11215.6875</v>
      </c>
      <c r="N4" s="38">
        <f t="shared" si="5"/>
        <v>17945.1</v>
      </c>
      <c r="O4" s="38"/>
      <c r="P4" s="38"/>
      <c r="Q4" s="40">
        <f t="shared" si="3"/>
        <v>33647.0625</v>
      </c>
      <c r="R4" s="39"/>
      <c r="S4" s="39"/>
      <c r="T4" s="39" t="s">
        <v>143</v>
      </c>
      <c r="U4" s="39" t="s">
        <v>155</v>
      </c>
      <c r="V4" s="39" t="s">
        <v>155</v>
      </c>
      <c r="W4" s="39" t="s">
        <v>156</v>
      </c>
      <c r="X4" s="43"/>
      <c r="Y4" s="44"/>
      <c r="Z4" s="44"/>
      <c r="AA4" s="44"/>
      <c r="AB4" s="44"/>
      <c r="AC4" s="44"/>
      <c r="AD4" s="44"/>
      <c r="AE4" s="44"/>
      <c r="AF4" s="44"/>
      <c r="AG4" s="44"/>
      <c r="AH4" s="44"/>
      <c r="AI4" s="44"/>
      <c r="AJ4" s="44"/>
      <c r="AK4" s="44"/>
      <c r="AL4" s="44"/>
    </row>
    <row r="5">
      <c r="A5" s="34" t="b">
        <v>0</v>
      </c>
      <c r="B5" s="35">
        <v>45272.0</v>
      </c>
      <c r="C5" s="18" t="s">
        <v>157</v>
      </c>
      <c r="D5" s="37" t="s">
        <v>163</v>
      </c>
      <c r="E5" s="37" t="s">
        <v>159</v>
      </c>
      <c r="F5" s="37" t="s">
        <v>156</v>
      </c>
      <c r="G5" s="38">
        <v>909405.0</v>
      </c>
      <c r="H5" s="39" t="s">
        <v>161</v>
      </c>
      <c r="I5" s="39">
        <v>7.0</v>
      </c>
      <c r="J5" s="38">
        <f>(G5*I5)/100+3</f>
        <v>63661.35</v>
      </c>
      <c r="K5" s="38">
        <f t="shared" si="2"/>
        <v>3183.0675</v>
      </c>
      <c r="L5" s="39">
        <v>25.0</v>
      </c>
      <c r="M5" s="38">
        <f t="shared" ref="M5:M18" si="6">(J5*L5)/100</f>
        <v>15915.3375</v>
      </c>
      <c r="N5" s="38">
        <v>0.0</v>
      </c>
      <c r="O5" s="38"/>
      <c r="P5" s="38"/>
      <c r="Q5" s="40">
        <f t="shared" si="3"/>
        <v>47746.0125</v>
      </c>
      <c r="R5" s="39"/>
      <c r="S5" s="39"/>
      <c r="T5" s="39" t="s">
        <v>143</v>
      </c>
      <c r="U5" s="39" t="s">
        <v>155</v>
      </c>
      <c r="V5" s="39" t="s">
        <v>155</v>
      </c>
      <c r="W5" s="39" t="s">
        <v>156</v>
      </c>
      <c r="X5" s="45" t="s">
        <v>44</v>
      </c>
      <c r="Y5" s="44"/>
      <c r="Z5" s="44"/>
      <c r="AA5" s="44"/>
      <c r="AB5" s="44"/>
      <c r="AC5" s="44"/>
      <c r="AD5" s="44"/>
      <c r="AE5" s="44"/>
      <c r="AF5" s="44"/>
      <c r="AG5" s="44"/>
      <c r="AH5" s="44"/>
      <c r="AI5" s="44"/>
      <c r="AJ5" s="44"/>
      <c r="AK5" s="44"/>
      <c r="AL5" s="44"/>
    </row>
    <row r="6">
      <c r="A6" s="34" t="b">
        <v>0</v>
      </c>
      <c r="B6" s="35">
        <v>45272.0</v>
      </c>
      <c r="C6" s="18" t="s">
        <v>150</v>
      </c>
      <c r="D6" s="36" t="s">
        <v>164</v>
      </c>
      <c r="E6" s="37" t="s">
        <v>165</v>
      </c>
      <c r="F6" s="37" t="s">
        <v>166</v>
      </c>
      <c r="G6" s="38">
        <v>1235779.0</v>
      </c>
      <c r="H6" s="35" t="s">
        <v>167</v>
      </c>
      <c r="I6" s="39">
        <v>7.0</v>
      </c>
      <c r="J6" s="38">
        <f t="shared" ref="J6:J159" si="7">(G6*I6)/100</f>
        <v>86504.53</v>
      </c>
      <c r="K6" s="38">
        <f t="shared" si="2"/>
        <v>4325.2265</v>
      </c>
      <c r="L6" s="39">
        <v>88.0</v>
      </c>
      <c r="M6" s="38">
        <f t="shared" si="6"/>
        <v>76123.9864</v>
      </c>
      <c r="N6" s="38">
        <v>1400.0</v>
      </c>
      <c r="O6" s="38"/>
      <c r="P6" s="38"/>
      <c r="Q6" s="40">
        <f t="shared" si="3"/>
        <v>8980.5436</v>
      </c>
      <c r="R6" s="39"/>
      <c r="S6" s="39"/>
      <c r="T6" s="39" t="s">
        <v>143</v>
      </c>
      <c r="U6" s="39" t="s">
        <v>155</v>
      </c>
      <c r="V6" s="39" t="s">
        <v>156</v>
      </c>
      <c r="W6" s="39" t="s">
        <v>156</v>
      </c>
      <c r="X6" s="43"/>
      <c r="Y6" s="44"/>
      <c r="Z6" s="44"/>
      <c r="AA6" s="44"/>
      <c r="AB6" s="44"/>
      <c r="AC6" s="44"/>
      <c r="AD6" s="44"/>
      <c r="AE6" s="44"/>
      <c r="AF6" s="44"/>
      <c r="AG6" s="44"/>
      <c r="AH6" s="44"/>
      <c r="AI6" s="44"/>
      <c r="AJ6" s="44"/>
      <c r="AK6" s="44"/>
      <c r="AL6" s="44"/>
    </row>
    <row r="7">
      <c r="A7" s="34" t="b">
        <v>0</v>
      </c>
      <c r="B7" s="35">
        <v>45272.0</v>
      </c>
      <c r="C7" s="39" t="s">
        <v>150</v>
      </c>
      <c r="D7" s="36" t="s">
        <v>164</v>
      </c>
      <c r="E7" s="37" t="s">
        <v>165</v>
      </c>
      <c r="F7" s="37" t="s">
        <v>166</v>
      </c>
      <c r="G7" s="38">
        <v>930960.0</v>
      </c>
      <c r="H7" s="39" t="s">
        <v>168</v>
      </c>
      <c r="I7" s="39">
        <v>5.0</v>
      </c>
      <c r="J7" s="38">
        <f t="shared" si="7"/>
        <v>46548</v>
      </c>
      <c r="K7" s="38">
        <f t="shared" si="2"/>
        <v>2327.4</v>
      </c>
      <c r="L7" s="39">
        <v>88.0</v>
      </c>
      <c r="M7" s="38">
        <f t="shared" si="6"/>
        <v>40962.24</v>
      </c>
      <c r="N7" s="38">
        <v>1500.0</v>
      </c>
      <c r="O7" s="38"/>
      <c r="P7" s="38"/>
      <c r="Q7" s="40">
        <f t="shared" si="3"/>
        <v>4085.76</v>
      </c>
      <c r="R7" s="39"/>
      <c r="S7" s="39"/>
      <c r="T7" s="39" t="s">
        <v>143</v>
      </c>
      <c r="U7" s="39" t="s">
        <v>155</v>
      </c>
      <c r="V7" s="39" t="s">
        <v>155</v>
      </c>
      <c r="W7" s="39" t="s">
        <v>156</v>
      </c>
      <c r="X7" s="45" t="s">
        <v>44</v>
      </c>
      <c r="Y7" s="44"/>
      <c r="Z7" s="44"/>
      <c r="AA7" s="44"/>
      <c r="AB7" s="44"/>
      <c r="AC7" s="44"/>
      <c r="AD7" s="44"/>
      <c r="AE7" s="44"/>
      <c r="AF7" s="44"/>
      <c r="AG7" s="44"/>
      <c r="AH7" s="44"/>
      <c r="AI7" s="44"/>
      <c r="AJ7" s="44"/>
      <c r="AK7" s="44"/>
      <c r="AL7" s="44"/>
    </row>
    <row r="8">
      <c r="A8" s="34" t="b">
        <v>0</v>
      </c>
      <c r="B8" s="35">
        <v>45281.0</v>
      </c>
      <c r="C8" s="18" t="s">
        <v>157</v>
      </c>
      <c r="D8" s="37" t="s">
        <v>169</v>
      </c>
      <c r="E8" s="37" t="s">
        <v>170</v>
      </c>
      <c r="F8" s="37" t="s">
        <v>156</v>
      </c>
      <c r="G8" s="38">
        <v>934606.0</v>
      </c>
      <c r="H8" s="39" t="s">
        <v>171</v>
      </c>
      <c r="I8" s="39">
        <v>5.0</v>
      </c>
      <c r="J8" s="38">
        <f t="shared" si="7"/>
        <v>46730.3</v>
      </c>
      <c r="K8" s="38">
        <f t="shared" si="2"/>
        <v>2336.515</v>
      </c>
      <c r="L8" s="39">
        <v>50.0</v>
      </c>
      <c r="M8" s="38">
        <f t="shared" si="6"/>
        <v>23365.15</v>
      </c>
      <c r="N8" s="38"/>
      <c r="O8" s="38"/>
      <c r="P8" s="38"/>
      <c r="Q8" s="40">
        <f t="shared" ref="Q8:Q11" si="8">J8-M8</f>
        <v>23365.15</v>
      </c>
      <c r="R8" s="39"/>
      <c r="S8" s="39"/>
      <c r="T8" s="39" t="s">
        <v>143</v>
      </c>
      <c r="U8" s="39"/>
      <c r="V8" s="39" t="s">
        <v>156</v>
      </c>
      <c r="W8" s="39" t="s">
        <v>156</v>
      </c>
      <c r="X8" s="43"/>
      <c r="Y8" s="44"/>
      <c r="Z8" s="44"/>
      <c r="AA8" s="44"/>
      <c r="AB8" s="44"/>
      <c r="AC8" s="44"/>
      <c r="AD8" s="44"/>
      <c r="AE8" s="44"/>
      <c r="AF8" s="44"/>
      <c r="AG8" s="44"/>
      <c r="AH8" s="44"/>
      <c r="AI8" s="44"/>
      <c r="AJ8" s="44"/>
      <c r="AK8" s="44"/>
      <c r="AL8" s="44"/>
    </row>
    <row r="9">
      <c r="A9" s="34" t="b">
        <v>0</v>
      </c>
      <c r="B9" s="46">
        <v>45325.0</v>
      </c>
      <c r="C9" s="18" t="s">
        <v>150</v>
      </c>
      <c r="D9" s="37" t="s">
        <v>172</v>
      </c>
      <c r="E9" s="37" t="s">
        <v>173</v>
      </c>
      <c r="F9" s="37" t="s">
        <v>156</v>
      </c>
      <c r="G9" s="38">
        <v>812888.0</v>
      </c>
      <c r="H9" s="35" t="s">
        <v>174</v>
      </c>
      <c r="I9" s="39">
        <v>5.0</v>
      </c>
      <c r="J9" s="38">
        <f t="shared" si="7"/>
        <v>40644.4</v>
      </c>
      <c r="K9" s="38">
        <f t="shared" si="2"/>
        <v>2032.22</v>
      </c>
      <c r="L9" s="39">
        <v>88.0</v>
      </c>
      <c r="M9" s="38">
        <f t="shared" si="6"/>
        <v>35767.072</v>
      </c>
      <c r="N9" s="38" t="s">
        <v>156</v>
      </c>
      <c r="O9" s="38">
        <f t="shared" ref="O9:O11" si="9">J9*0.01</f>
        <v>406.444</v>
      </c>
      <c r="P9" s="38"/>
      <c r="Q9" s="40">
        <f t="shared" si="8"/>
        <v>4877.328</v>
      </c>
      <c r="R9" s="39"/>
      <c r="S9" s="39"/>
      <c r="T9" s="39" t="s">
        <v>143</v>
      </c>
      <c r="U9" s="47"/>
      <c r="V9" s="47"/>
      <c r="W9" s="39" t="s">
        <v>156</v>
      </c>
      <c r="X9" s="45" t="s">
        <v>2</v>
      </c>
      <c r="Y9" s="44"/>
      <c r="Z9" s="44"/>
      <c r="AA9" s="44"/>
      <c r="AB9" s="44"/>
      <c r="AC9" s="44"/>
      <c r="AD9" s="44"/>
      <c r="AE9" s="44"/>
      <c r="AF9" s="44"/>
      <c r="AG9" s="44"/>
      <c r="AH9" s="44"/>
      <c r="AI9" s="44"/>
      <c r="AJ9" s="44"/>
      <c r="AK9" s="44"/>
      <c r="AL9" s="44"/>
    </row>
    <row r="10">
      <c r="A10" s="34" t="b">
        <v>0</v>
      </c>
      <c r="B10" s="35">
        <v>45325.0</v>
      </c>
      <c r="C10" s="18" t="s">
        <v>150</v>
      </c>
      <c r="D10" s="37" t="s">
        <v>175</v>
      </c>
      <c r="E10" s="37" t="s">
        <v>173</v>
      </c>
      <c r="F10" s="37" t="s">
        <v>156</v>
      </c>
      <c r="G10" s="38">
        <v>812888.0</v>
      </c>
      <c r="H10" s="35" t="s">
        <v>174</v>
      </c>
      <c r="I10" s="39">
        <v>5.0</v>
      </c>
      <c r="J10" s="38">
        <f t="shared" si="7"/>
        <v>40644.4</v>
      </c>
      <c r="K10" s="38">
        <f t="shared" si="2"/>
        <v>2032.22</v>
      </c>
      <c r="L10" s="39">
        <v>88.0</v>
      </c>
      <c r="M10" s="38">
        <f t="shared" si="6"/>
        <v>35767.072</v>
      </c>
      <c r="N10" s="38" t="s">
        <v>156</v>
      </c>
      <c r="O10" s="38">
        <f t="shared" si="9"/>
        <v>406.444</v>
      </c>
      <c r="P10" s="38"/>
      <c r="Q10" s="40">
        <f t="shared" si="8"/>
        <v>4877.328</v>
      </c>
      <c r="R10" s="39"/>
      <c r="S10" s="39"/>
      <c r="T10" s="39" t="s">
        <v>143</v>
      </c>
      <c r="U10" s="47"/>
      <c r="V10" s="47"/>
      <c r="W10" s="39" t="s">
        <v>156</v>
      </c>
      <c r="X10" s="45" t="s">
        <v>44</v>
      </c>
      <c r="Y10" s="44"/>
      <c r="Z10" s="44"/>
      <c r="AA10" s="44"/>
      <c r="AB10" s="44"/>
      <c r="AC10" s="44"/>
      <c r="AD10" s="44"/>
      <c r="AE10" s="44"/>
      <c r="AF10" s="44"/>
      <c r="AG10" s="44"/>
      <c r="AH10" s="44"/>
      <c r="AI10" s="44"/>
      <c r="AJ10" s="44"/>
      <c r="AK10" s="44"/>
      <c r="AL10" s="44"/>
    </row>
    <row r="11">
      <c r="A11" s="34" t="b">
        <v>0</v>
      </c>
      <c r="B11" s="46">
        <v>45325.0</v>
      </c>
      <c r="C11" s="18" t="s">
        <v>150</v>
      </c>
      <c r="D11" s="37" t="s">
        <v>176</v>
      </c>
      <c r="E11" s="37" t="s">
        <v>173</v>
      </c>
      <c r="F11" s="37" t="s">
        <v>156</v>
      </c>
      <c r="G11" s="38">
        <v>816888.0</v>
      </c>
      <c r="H11" s="35" t="s">
        <v>174</v>
      </c>
      <c r="I11" s="39">
        <v>5.0</v>
      </c>
      <c r="J11" s="38">
        <f t="shared" si="7"/>
        <v>40844.4</v>
      </c>
      <c r="K11" s="38">
        <f t="shared" si="2"/>
        <v>2042.22</v>
      </c>
      <c r="L11" s="39">
        <v>88.0</v>
      </c>
      <c r="M11" s="38">
        <f t="shared" si="6"/>
        <v>35943.072</v>
      </c>
      <c r="N11" s="38" t="s">
        <v>156</v>
      </c>
      <c r="O11" s="38">
        <f t="shared" si="9"/>
        <v>408.444</v>
      </c>
      <c r="P11" s="38"/>
      <c r="Q11" s="40">
        <f t="shared" si="8"/>
        <v>4901.328</v>
      </c>
      <c r="R11" s="39"/>
      <c r="S11" s="39"/>
      <c r="T11" s="39" t="s">
        <v>143</v>
      </c>
      <c r="U11" s="47"/>
      <c r="V11" s="47"/>
      <c r="W11" s="39" t="s">
        <v>156</v>
      </c>
      <c r="X11" s="43"/>
      <c r="Y11" s="44"/>
      <c r="Z11" s="44"/>
      <c r="AA11" s="44"/>
      <c r="AB11" s="44"/>
      <c r="AC11" s="44"/>
      <c r="AD11" s="44"/>
      <c r="AE11" s="44"/>
      <c r="AF11" s="44"/>
      <c r="AG11" s="44"/>
      <c r="AH11" s="44"/>
      <c r="AI11" s="44"/>
      <c r="AJ11" s="44"/>
      <c r="AK11" s="44"/>
      <c r="AL11" s="44"/>
    </row>
    <row r="12">
      <c r="A12" s="34" t="b">
        <v>0</v>
      </c>
      <c r="B12" s="35">
        <v>45326.0</v>
      </c>
      <c r="C12" s="18" t="s">
        <v>150</v>
      </c>
      <c r="D12" s="37" t="s">
        <v>177</v>
      </c>
      <c r="E12" s="37" t="s">
        <v>178</v>
      </c>
      <c r="F12" s="37" t="s">
        <v>153</v>
      </c>
      <c r="G12" s="38">
        <v>1116000.0</v>
      </c>
      <c r="H12" s="39" t="s">
        <v>179</v>
      </c>
      <c r="I12" s="39">
        <v>7.0</v>
      </c>
      <c r="J12" s="38">
        <f t="shared" si="7"/>
        <v>78120</v>
      </c>
      <c r="K12" s="38">
        <f t="shared" si="2"/>
        <v>3906</v>
      </c>
      <c r="L12" s="39">
        <v>88.0</v>
      </c>
      <c r="M12" s="38">
        <f t="shared" si="6"/>
        <v>68745.6</v>
      </c>
      <c r="N12" s="38">
        <f>(J12-M12)*0.25</f>
        <v>2343.6</v>
      </c>
      <c r="O12" s="38"/>
      <c r="P12" s="38"/>
      <c r="Q12" s="40">
        <f>J12-M12-N12</f>
        <v>7030.8</v>
      </c>
      <c r="R12" s="39"/>
      <c r="S12" s="39"/>
      <c r="T12" s="39" t="s">
        <v>143</v>
      </c>
      <c r="U12" s="39" t="s">
        <v>155</v>
      </c>
      <c r="V12" s="48"/>
      <c r="W12" s="39" t="s">
        <v>156</v>
      </c>
      <c r="X12" s="43"/>
      <c r="Y12" s="44"/>
      <c r="Z12" s="44"/>
      <c r="AA12" s="44"/>
      <c r="AB12" s="44"/>
      <c r="AC12" s="44"/>
      <c r="AD12" s="44"/>
      <c r="AE12" s="44"/>
      <c r="AF12" s="44"/>
      <c r="AG12" s="44"/>
      <c r="AH12" s="44"/>
      <c r="AI12" s="44"/>
      <c r="AJ12" s="44"/>
      <c r="AK12" s="44"/>
      <c r="AL12" s="44"/>
    </row>
    <row r="13">
      <c r="A13" s="34" t="b">
        <v>0</v>
      </c>
      <c r="B13" s="35">
        <v>45328.0</v>
      </c>
      <c r="C13" s="18" t="s">
        <v>150</v>
      </c>
      <c r="D13" s="37" t="s">
        <v>180</v>
      </c>
      <c r="E13" s="37" t="s">
        <v>181</v>
      </c>
      <c r="F13" s="37" t="s">
        <v>156</v>
      </c>
      <c r="G13" s="38">
        <v>1007500.0</v>
      </c>
      <c r="H13" s="39" t="s">
        <v>182</v>
      </c>
      <c r="I13" s="39">
        <v>4.0</v>
      </c>
      <c r="J13" s="38">
        <f t="shared" si="7"/>
        <v>40300</v>
      </c>
      <c r="K13" s="38">
        <f t="shared" si="2"/>
        <v>2015</v>
      </c>
      <c r="L13" s="39">
        <v>83.0</v>
      </c>
      <c r="M13" s="38">
        <f t="shared" si="6"/>
        <v>33449</v>
      </c>
      <c r="N13" s="38" t="s">
        <v>156</v>
      </c>
      <c r="O13" s="38"/>
      <c r="P13" s="38"/>
      <c r="Q13" s="40">
        <f t="shared" ref="Q13:Q15" si="10">J13-M13</f>
        <v>6851</v>
      </c>
      <c r="R13" s="39"/>
      <c r="S13" s="39"/>
      <c r="T13" s="39" t="s">
        <v>143</v>
      </c>
      <c r="U13" s="39" t="s">
        <v>155</v>
      </c>
      <c r="V13" s="39" t="s">
        <v>156</v>
      </c>
      <c r="W13" s="39" t="s">
        <v>156</v>
      </c>
      <c r="X13" s="43"/>
      <c r="Y13" s="44"/>
      <c r="Z13" s="44"/>
      <c r="AA13" s="44"/>
      <c r="AB13" s="44"/>
      <c r="AC13" s="44"/>
      <c r="AD13" s="44"/>
      <c r="AE13" s="44"/>
      <c r="AF13" s="44"/>
      <c r="AG13" s="44"/>
      <c r="AH13" s="44"/>
      <c r="AI13" s="44"/>
      <c r="AJ13" s="44"/>
      <c r="AK13" s="44"/>
      <c r="AL13" s="44"/>
    </row>
    <row r="14">
      <c r="A14" s="34" t="b">
        <v>0</v>
      </c>
      <c r="B14" s="35">
        <v>45329.0</v>
      </c>
      <c r="C14" s="18" t="s">
        <v>157</v>
      </c>
      <c r="D14" s="37" t="s">
        <v>183</v>
      </c>
      <c r="E14" s="37" t="s">
        <v>184</v>
      </c>
      <c r="F14" s="37" t="s">
        <v>156</v>
      </c>
      <c r="G14" s="38">
        <v>4115000.0</v>
      </c>
      <c r="H14" s="39" t="s">
        <v>185</v>
      </c>
      <c r="I14" s="39">
        <v>4.0</v>
      </c>
      <c r="J14" s="38">
        <f t="shared" si="7"/>
        <v>164600</v>
      </c>
      <c r="K14" s="38">
        <f t="shared" si="2"/>
        <v>8230</v>
      </c>
      <c r="L14" s="39">
        <v>0.0</v>
      </c>
      <c r="M14" s="38">
        <f t="shared" si="6"/>
        <v>0</v>
      </c>
      <c r="N14" s="38" t="s">
        <v>156</v>
      </c>
      <c r="O14" s="38"/>
      <c r="P14" s="38"/>
      <c r="Q14" s="40">
        <f t="shared" si="10"/>
        <v>164600</v>
      </c>
      <c r="R14" s="39"/>
      <c r="S14" s="39"/>
      <c r="T14" s="39" t="s">
        <v>143</v>
      </c>
      <c r="U14" s="39" t="s">
        <v>156</v>
      </c>
      <c r="V14" s="39" t="s">
        <v>156</v>
      </c>
      <c r="W14" s="39" t="s">
        <v>156</v>
      </c>
      <c r="X14" s="43"/>
      <c r="Y14" s="44"/>
      <c r="Z14" s="44"/>
      <c r="AA14" s="44"/>
      <c r="AB14" s="44"/>
      <c r="AC14" s="44"/>
      <c r="AD14" s="44"/>
      <c r="AE14" s="44"/>
      <c r="AF14" s="44"/>
      <c r="AG14" s="44"/>
      <c r="AH14" s="44"/>
      <c r="AI14" s="44"/>
      <c r="AJ14" s="44"/>
      <c r="AK14" s="44"/>
      <c r="AL14" s="44"/>
    </row>
    <row r="15">
      <c r="A15" s="34" t="b">
        <v>0</v>
      </c>
      <c r="B15" s="35">
        <v>45336.0</v>
      </c>
      <c r="C15" s="18" t="s">
        <v>157</v>
      </c>
      <c r="D15" s="37" t="s">
        <v>186</v>
      </c>
      <c r="E15" s="37" t="s">
        <v>187</v>
      </c>
      <c r="F15" s="37" t="s">
        <v>156</v>
      </c>
      <c r="G15" s="38">
        <v>1733260.0</v>
      </c>
      <c r="H15" s="39" t="s">
        <v>185</v>
      </c>
      <c r="I15" s="39">
        <v>4.0</v>
      </c>
      <c r="J15" s="38">
        <f t="shared" si="7"/>
        <v>69330.4</v>
      </c>
      <c r="K15" s="38">
        <f t="shared" si="2"/>
        <v>3466.52</v>
      </c>
      <c r="L15" s="39">
        <v>75.0</v>
      </c>
      <c r="M15" s="38">
        <f t="shared" si="6"/>
        <v>51997.8</v>
      </c>
      <c r="N15" s="38" t="s">
        <v>156</v>
      </c>
      <c r="O15" s="38"/>
      <c r="P15" s="38"/>
      <c r="Q15" s="40">
        <f t="shared" si="10"/>
        <v>17332.6</v>
      </c>
      <c r="R15" s="39"/>
      <c r="S15" s="39"/>
      <c r="T15" s="39" t="s">
        <v>143</v>
      </c>
      <c r="U15" s="39" t="s">
        <v>155</v>
      </c>
      <c r="V15" s="39" t="s">
        <v>156</v>
      </c>
      <c r="W15" s="39" t="s">
        <v>156</v>
      </c>
      <c r="X15" s="43"/>
      <c r="Y15" s="44"/>
      <c r="Z15" s="44"/>
      <c r="AA15" s="44"/>
      <c r="AB15" s="44"/>
      <c r="AC15" s="44"/>
      <c r="AD15" s="44"/>
      <c r="AE15" s="44"/>
      <c r="AF15" s="44"/>
      <c r="AG15" s="44"/>
      <c r="AH15" s="44"/>
      <c r="AI15" s="44"/>
      <c r="AJ15" s="44"/>
      <c r="AK15" s="44"/>
      <c r="AL15" s="44"/>
    </row>
    <row r="16">
      <c r="A16" s="34" t="b">
        <v>0</v>
      </c>
      <c r="B16" s="35">
        <v>45343.0</v>
      </c>
      <c r="C16" s="18" t="s">
        <v>150</v>
      </c>
      <c r="D16" s="37" t="s">
        <v>188</v>
      </c>
      <c r="E16" s="37" t="s">
        <v>189</v>
      </c>
      <c r="F16" s="37" t="s">
        <v>190</v>
      </c>
      <c r="G16" s="38">
        <v>2538828.0</v>
      </c>
      <c r="H16" s="39" t="s">
        <v>191</v>
      </c>
      <c r="I16" s="39">
        <v>5.0</v>
      </c>
      <c r="J16" s="38">
        <f t="shared" si="7"/>
        <v>126941.4</v>
      </c>
      <c r="K16" s="38">
        <f t="shared" si="2"/>
        <v>6347.07</v>
      </c>
      <c r="L16" s="39">
        <v>88.0</v>
      </c>
      <c r="M16" s="38">
        <f t="shared" si="6"/>
        <v>111708.432</v>
      </c>
      <c r="N16" s="38">
        <v>3000.0</v>
      </c>
      <c r="O16" s="38">
        <f>J16*0.01</f>
        <v>1269.414</v>
      </c>
      <c r="P16" s="38"/>
      <c r="Q16" s="40">
        <f>J16-M16-N16</f>
        <v>12232.968</v>
      </c>
      <c r="R16" s="39"/>
      <c r="S16" s="39"/>
      <c r="T16" s="39" t="s">
        <v>143</v>
      </c>
      <c r="U16" s="39" t="s">
        <v>155</v>
      </c>
      <c r="V16" s="39" t="s">
        <v>155</v>
      </c>
      <c r="W16" s="39" t="s">
        <v>156</v>
      </c>
      <c r="X16" s="43"/>
      <c r="Y16" s="44"/>
      <c r="Z16" s="44"/>
      <c r="AA16" s="44"/>
      <c r="AB16" s="44"/>
      <c r="AC16" s="44"/>
      <c r="AD16" s="44"/>
      <c r="AE16" s="44"/>
      <c r="AF16" s="44"/>
      <c r="AG16" s="44"/>
      <c r="AH16" s="44"/>
      <c r="AI16" s="44"/>
      <c r="AJ16" s="44"/>
      <c r="AK16" s="44"/>
      <c r="AL16" s="44"/>
    </row>
    <row r="17">
      <c r="A17" s="34" t="b">
        <v>0</v>
      </c>
      <c r="B17" s="35">
        <v>45345.0</v>
      </c>
      <c r="C17" s="18" t="s">
        <v>157</v>
      </c>
      <c r="D17" s="37" t="s">
        <v>192</v>
      </c>
      <c r="E17" s="37" t="s">
        <v>193</v>
      </c>
      <c r="F17" s="37" t="s">
        <v>156</v>
      </c>
      <c r="G17" s="38">
        <v>1331100.0</v>
      </c>
      <c r="H17" s="39" t="s">
        <v>194</v>
      </c>
      <c r="I17" s="39">
        <v>5.0</v>
      </c>
      <c r="J17" s="38">
        <f t="shared" si="7"/>
        <v>66555</v>
      </c>
      <c r="K17" s="38">
        <f t="shared" si="2"/>
        <v>3327.75</v>
      </c>
      <c r="L17" s="39">
        <v>25.0</v>
      </c>
      <c r="M17" s="38">
        <f t="shared" si="6"/>
        <v>16638.75</v>
      </c>
      <c r="N17" s="38"/>
      <c r="O17" s="38"/>
      <c r="P17" s="38"/>
      <c r="Q17" s="40">
        <f t="shared" ref="Q17:Q18" si="11">J17-M17</f>
        <v>49916.25</v>
      </c>
      <c r="R17" s="39"/>
      <c r="S17" s="39"/>
      <c r="T17" s="39" t="s">
        <v>143</v>
      </c>
      <c r="U17" s="39" t="s">
        <v>155</v>
      </c>
      <c r="V17" s="39" t="s">
        <v>156</v>
      </c>
      <c r="W17" s="39" t="s">
        <v>156</v>
      </c>
      <c r="X17" s="43"/>
      <c r="Y17" s="44"/>
      <c r="Z17" s="44"/>
      <c r="AA17" s="44"/>
      <c r="AB17" s="44"/>
      <c r="AC17" s="44"/>
      <c r="AD17" s="44"/>
      <c r="AE17" s="44"/>
      <c r="AF17" s="44"/>
      <c r="AG17" s="44"/>
      <c r="AH17" s="44"/>
      <c r="AI17" s="44"/>
      <c r="AJ17" s="44"/>
      <c r="AK17" s="44"/>
      <c r="AL17" s="44"/>
    </row>
    <row r="18">
      <c r="A18" s="34" t="b">
        <v>0</v>
      </c>
      <c r="B18" s="35">
        <v>45349.0</v>
      </c>
      <c r="C18" s="18" t="s">
        <v>157</v>
      </c>
      <c r="D18" s="37" t="s">
        <v>195</v>
      </c>
      <c r="E18" s="37" t="s">
        <v>184</v>
      </c>
      <c r="F18" s="37" t="s">
        <v>156</v>
      </c>
      <c r="G18" s="38">
        <v>955045.0</v>
      </c>
      <c r="H18" s="39" t="s">
        <v>161</v>
      </c>
      <c r="I18" s="39">
        <v>8.0</v>
      </c>
      <c r="J18" s="38">
        <f t="shared" si="7"/>
        <v>76403.6</v>
      </c>
      <c r="K18" s="38">
        <f t="shared" si="2"/>
        <v>3820.18</v>
      </c>
      <c r="L18" s="39">
        <v>0.0</v>
      </c>
      <c r="M18" s="38">
        <f t="shared" si="6"/>
        <v>0</v>
      </c>
      <c r="N18" s="38" t="s">
        <v>156</v>
      </c>
      <c r="O18" s="38"/>
      <c r="P18" s="38"/>
      <c r="Q18" s="40">
        <f t="shared" si="11"/>
        <v>76403.6</v>
      </c>
      <c r="R18" s="39"/>
      <c r="S18" s="39"/>
      <c r="T18" s="39" t="s">
        <v>143</v>
      </c>
      <c r="U18" s="39" t="s">
        <v>156</v>
      </c>
      <c r="V18" s="39" t="s">
        <v>156</v>
      </c>
      <c r="W18" s="39" t="s">
        <v>156</v>
      </c>
      <c r="X18" s="43"/>
      <c r="Y18" s="44"/>
      <c r="Z18" s="44"/>
      <c r="AA18" s="44"/>
      <c r="AB18" s="44"/>
      <c r="AC18" s="44"/>
      <c r="AD18" s="44"/>
      <c r="AE18" s="44"/>
      <c r="AF18" s="44"/>
      <c r="AG18" s="44"/>
      <c r="AH18" s="44"/>
      <c r="AI18" s="44"/>
      <c r="AJ18" s="44"/>
      <c r="AK18" s="44"/>
      <c r="AL18" s="44"/>
    </row>
    <row r="19">
      <c r="A19" s="34" t="b">
        <v>0</v>
      </c>
      <c r="B19" s="35">
        <v>45366.0</v>
      </c>
      <c r="C19" s="18" t="s">
        <v>157</v>
      </c>
      <c r="D19" s="37" t="s">
        <v>196</v>
      </c>
      <c r="E19" s="37" t="s">
        <v>159</v>
      </c>
      <c r="F19" s="37" t="s">
        <v>197</v>
      </c>
      <c r="G19" s="38">
        <v>2588205.0</v>
      </c>
      <c r="H19" s="39" t="s">
        <v>198</v>
      </c>
      <c r="I19" s="39">
        <v>8.0</v>
      </c>
      <c r="J19" s="38">
        <f t="shared" si="7"/>
        <v>207056.4</v>
      </c>
      <c r="K19" s="38">
        <f t="shared" si="2"/>
        <v>10352.82</v>
      </c>
      <c r="L19" s="39">
        <v>12.5</v>
      </c>
      <c r="M19" s="38">
        <f>(J19-N19)*0.25</f>
        <v>25882.05</v>
      </c>
      <c r="N19" s="38">
        <f>J19*0.5</f>
        <v>103528.2</v>
      </c>
      <c r="O19" s="38"/>
      <c r="P19" s="38"/>
      <c r="Q19" s="40">
        <f t="shared" ref="Q19:Q20" si="12">J19-M19-N19</f>
        <v>77646.15</v>
      </c>
      <c r="R19" s="39"/>
      <c r="S19" s="39"/>
      <c r="T19" s="39" t="s">
        <v>143</v>
      </c>
      <c r="U19" s="39" t="s">
        <v>155</v>
      </c>
      <c r="V19" s="39" t="s">
        <v>155</v>
      </c>
      <c r="W19" s="39" t="s">
        <v>156</v>
      </c>
      <c r="X19" s="45" t="s">
        <v>0</v>
      </c>
      <c r="Y19" s="44"/>
      <c r="Z19" s="44"/>
      <c r="AA19" s="44"/>
      <c r="AB19" s="44"/>
      <c r="AC19" s="44"/>
      <c r="AD19" s="44"/>
      <c r="AE19" s="44"/>
      <c r="AF19" s="44"/>
      <c r="AG19" s="44"/>
      <c r="AH19" s="44"/>
      <c r="AI19" s="44"/>
      <c r="AJ19" s="44"/>
      <c r="AK19" s="44"/>
      <c r="AL19" s="44"/>
    </row>
    <row r="20">
      <c r="A20" s="34" t="b">
        <v>0</v>
      </c>
      <c r="B20" s="49">
        <v>45371.0</v>
      </c>
      <c r="C20" s="18" t="s">
        <v>150</v>
      </c>
      <c r="D20" s="37" t="s">
        <v>199</v>
      </c>
      <c r="E20" s="37" t="s">
        <v>200</v>
      </c>
      <c r="F20" s="37" t="s">
        <v>201</v>
      </c>
      <c r="G20" s="38">
        <v>891417.0</v>
      </c>
      <c r="H20" s="39" t="s">
        <v>185</v>
      </c>
      <c r="I20" s="39">
        <v>4.0</v>
      </c>
      <c r="J20" s="38">
        <f t="shared" si="7"/>
        <v>35656.68</v>
      </c>
      <c r="K20" s="38">
        <f t="shared" si="2"/>
        <v>1782.834</v>
      </c>
      <c r="L20" s="39">
        <v>80.0</v>
      </c>
      <c r="M20" s="38">
        <f t="shared" ref="M20:M278" si="13">(J20*L20)/100</f>
        <v>28525.344</v>
      </c>
      <c r="N20" s="38">
        <v>356.0</v>
      </c>
      <c r="O20" s="38"/>
      <c r="P20" s="38"/>
      <c r="Q20" s="40">
        <f t="shared" si="12"/>
        <v>6775.336</v>
      </c>
      <c r="R20" s="39"/>
      <c r="S20" s="39"/>
      <c r="T20" s="39" t="s">
        <v>143</v>
      </c>
      <c r="U20" s="39" t="s">
        <v>155</v>
      </c>
      <c r="V20" s="39" t="s">
        <v>155</v>
      </c>
      <c r="W20" s="39" t="s">
        <v>156</v>
      </c>
      <c r="X20" s="43"/>
      <c r="Y20" s="44"/>
      <c r="Z20" s="44"/>
      <c r="AA20" s="44"/>
      <c r="AB20" s="44"/>
      <c r="AC20" s="44"/>
      <c r="AD20" s="44"/>
      <c r="AE20" s="44"/>
      <c r="AF20" s="44"/>
      <c r="AG20" s="44"/>
      <c r="AH20" s="44"/>
      <c r="AI20" s="44"/>
      <c r="AJ20" s="44"/>
      <c r="AK20" s="44"/>
      <c r="AL20" s="44"/>
    </row>
    <row r="21">
      <c r="A21" s="34" t="b">
        <v>0</v>
      </c>
      <c r="B21" s="49">
        <v>45372.0</v>
      </c>
      <c r="C21" s="18" t="s">
        <v>150</v>
      </c>
      <c r="D21" s="37" t="s">
        <v>202</v>
      </c>
      <c r="E21" s="37" t="s">
        <v>203</v>
      </c>
      <c r="F21" s="37" t="s">
        <v>156</v>
      </c>
      <c r="G21" s="38">
        <v>1350000.0</v>
      </c>
      <c r="H21" s="39" t="s">
        <v>204</v>
      </c>
      <c r="I21" s="39">
        <v>5.0</v>
      </c>
      <c r="J21" s="38">
        <f t="shared" si="7"/>
        <v>67500</v>
      </c>
      <c r="K21" s="38">
        <f t="shared" si="2"/>
        <v>3375</v>
      </c>
      <c r="L21" s="39">
        <v>88.0</v>
      </c>
      <c r="M21" s="38">
        <f t="shared" si="13"/>
        <v>59400</v>
      </c>
      <c r="N21" s="38"/>
      <c r="O21" s="38"/>
      <c r="P21" s="38"/>
      <c r="Q21" s="40">
        <f t="shared" ref="Q21:Q22" si="14">J21-M21</f>
        <v>8100</v>
      </c>
      <c r="R21" s="39"/>
      <c r="S21" s="39"/>
      <c r="T21" s="39" t="s">
        <v>143</v>
      </c>
      <c r="U21" s="39" t="s">
        <v>205</v>
      </c>
      <c r="V21" s="39" t="s">
        <v>156</v>
      </c>
      <c r="W21" s="39" t="s">
        <v>156</v>
      </c>
      <c r="X21" s="43"/>
      <c r="Y21" s="44"/>
      <c r="Z21" s="44"/>
      <c r="AA21" s="44"/>
      <c r="AB21" s="44"/>
      <c r="AC21" s="44"/>
      <c r="AD21" s="44"/>
      <c r="AE21" s="44"/>
      <c r="AF21" s="44"/>
      <c r="AG21" s="44"/>
      <c r="AH21" s="44"/>
      <c r="AI21" s="44"/>
      <c r="AJ21" s="44"/>
      <c r="AK21" s="44"/>
      <c r="AL21" s="44"/>
    </row>
    <row r="22">
      <c r="A22" s="34" t="b">
        <v>0</v>
      </c>
      <c r="B22" s="46">
        <v>45372.0</v>
      </c>
      <c r="C22" s="18" t="s">
        <v>150</v>
      </c>
      <c r="D22" s="37" t="s">
        <v>206</v>
      </c>
      <c r="E22" s="37" t="s">
        <v>203</v>
      </c>
      <c r="F22" s="37" t="s">
        <v>156</v>
      </c>
      <c r="G22" s="38">
        <v>1498500.0</v>
      </c>
      <c r="H22" s="39" t="s">
        <v>204</v>
      </c>
      <c r="I22" s="39">
        <v>5.0</v>
      </c>
      <c r="J22" s="38">
        <f t="shared" si="7"/>
        <v>74925</v>
      </c>
      <c r="K22" s="38">
        <f t="shared" si="2"/>
        <v>3746.25</v>
      </c>
      <c r="L22" s="39">
        <v>88.0</v>
      </c>
      <c r="M22" s="38">
        <f t="shared" si="13"/>
        <v>65934</v>
      </c>
      <c r="N22" s="38"/>
      <c r="O22" s="38"/>
      <c r="P22" s="38"/>
      <c r="Q22" s="40">
        <f t="shared" si="14"/>
        <v>8991</v>
      </c>
      <c r="R22" s="39"/>
      <c r="S22" s="39"/>
      <c r="T22" s="39" t="s">
        <v>143</v>
      </c>
      <c r="U22" s="39" t="s">
        <v>205</v>
      </c>
      <c r="V22" s="39" t="s">
        <v>156</v>
      </c>
      <c r="W22" s="39" t="s">
        <v>156</v>
      </c>
      <c r="X22" s="43"/>
      <c r="Y22" s="44"/>
      <c r="Z22" s="44"/>
      <c r="AA22" s="44"/>
      <c r="AB22" s="44"/>
      <c r="AC22" s="44"/>
      <c r="AD22" s="44"/>
      <c r="AE22" s="44"/>
      <c r="AF22" s="44"/>
      <c r="AG22" s="44"/>
      <c r="AH22" s="44"/>
      <c r="AI22" s="44"/>
      <c r="AJ22" s="44"/>
      <c r="AK22" s="44"/>
      <c r="AL22" s="44"/>
    </row>
    <row r="23">
      <c r="A23" s="34" t="b">
        <v>0</v>
      </c>
      <c r="B23" s="35">
        <v>45376.0</v>
      </c>
      <c r="C23" s="18" t="s">
        <v>150</v>
      </c>
      <c r="D23" s="37" t="s">
        <v>207</v>
      </c>
      <c r="E23" s="37" t="s">
        <v>208</v>
      </c>
      <c r="F23" s="37" t="s">
        <v>153</v>
      </c>
      <c r="G23" s="38">
        <v>3870154.0</v>
      </c>
      <c r="H23" s="39" t="s">
        <v>209</v>
      </c>
      <c r="I23" s="39">
        <v>4.0</v>
      </c>
      <c r="J23" s="38">
        <f t="shared" si="7"/>
        <v>154806.16</v>
      </c>
      <c r="K23" s="38">
        <f t="shared" si="2"/>
        <v>7740.308</v>
      </c>
      <c r="L23" s="39">
        <v>80.0</v>
      </c>
      <c r="M23" s="38">
        <f t="shared" si="13"/>
        <v>123844.928</v>
      </c>
      <c r="N23" s="38">
        <f>(J23-M23)*0.25</f>
        <v>7740.308</v>
      </c>
      <c r="O23" s="38"/>
      <c r="P23" s="38"/>
      <c r="Q23" s="40">
        <f>J23-M23-N23</f>
        <v>23220.924</v>
      </c>
      <c r="R23" s="39"/>
      <c r="S23" s="39"/>
      <c r="T23" s="39" t="s">
        <v>143</v>
      </c>
      <c r="U23" s="39" t="s">
        <v>210</v>
      </c>
      <c r="V23" s="39" t="s">
        <v>211</v>
      </c>
      <c r="W23" s="39" t="s">
        <v>212</v>
      </c>
      <c r="X23" s="43"/>
      <c r="Y23" s="44"/>
      <c r="Z23" s="44"/>
      <c r="AA23" s="44"/>
      <c r="AB23" s="44"/>
      <c r="AC23" s="44"/>
      <c r="AD23" s="44"/>
      <c r="AE23" s="44"/>
      <c r="AF23" s="44"/>
      <c r="AG23" s="44"/>
      <c r="AH23" s="44"/>
      <c r="AI23" s="44"/>
      <c r="AJ23" s="44"/>
      <c r="AK23" s="44"/>
      <c r="AL23" s="44"/>
    </row>
    <row r="24">
      <c r="A24" s="34" t="b">
        <v>0</v>
      </c>
      <c r="B24" s="35">
        <v>45380.0</v>
      </c>
      <c r="C24" s="18" t="s">
        <v>157</v>
      </c>
      <c r="D24" s="37" t="s">
        <v>213</v>
      </c>
      <c r="E24" s="37" t="s">
        <v>214</v>
      </c>
      <c r="F24" s="37" t="s">
        <v>156</v>
      </c>
      <c r="G24" s="38">
        <v>9843875.0</v>
      </c>
      <c r="H24" s="39" t="s">
        <v>215</v>
      </c>
      <c r="I24" s="39">
        <v>5.0</v>
      </c>
      <c r="J24" s="38">
        <f t="shared" si="7"/>
        <v>492193.75</v>
      </c>
      <c r="K24" s="38">
        <f t="shared" si="2"/>
        <v>24609.6875</v>
      </c>
      <c r="L24" s="39">
        <v>50.0</v>
      </c>
      <c r="M24" s="38">
        <f t="shared" si="13"/>
        <v>246096.875</v>
      </c>
      <c r="N24" s="38" t="s">
        <v>156</v>
      </c>
      <c r="O24" s="38"/>
      <c r="P24" s="38"/>
      <c r="Q24" s="40">
        <f>J24-M24</f>
        <v>246096.875</v>
      </c>
      <c r="R24" s="39"/>
      <c r="S24" s="49">
        <v>45471.0</v>
      </c>
      <c r="T24" s="39" t="s">
        <v>216</v>
      </c>
      <c r="U24" s="47"/>
      <c r="V24" s="47"/>
      <c r="W24" s="47"/>
      <c r="X24" s="45" t="s">
        <v>2</v>
      </c>
      <c r="Y24" s="44"/>
      <c r="Z24" s="44"/>
      <c r="AA24" s="44"/>
      <c r="AB24" s="44"/>
      <c r="AC24" s="44"/>
      <c r="AD24" s="44"/>
      <c r="AE24" s="44"/>
      <c r="AF24" s="44"/>
      <c r="AG24" s="44"/>
      <c r="AH24" s="44"/>
      <c r="AI24" s="44"/>
      <c r="AJ24" s="44"/>
      <c r="AK24" s="44"/>
      <c r="AL24" s="44"/>
    </row>
    <row r="25">
      <c r="A25" s="34" t="b">
        <v>0</v>
      </c>
      <c r="B25" s="35">
        <v>45405.0</v>
      </c>
      <c r="C25" s="18" t="s">
        <v>150</v>
      </c>
      <c r="D25" s="37" t="s">
        <v>217</v>
      </c>
      <c r="E25" s="37" t="s">
        <v>200</v>
      </c>
      <c r="F25" s="37" t="s">
        <v>201</v>
      </c>
      <c r="G25" s="38">
        <v>3600000.0</v>
      </c>
      <c r="H25" s="39" t="s">
        <v>218</v>
      </c>
      <c r="I25" s="39">
        <v>4.0</v>
      </c>
      <c r="J25" s="38">
        <f t="shared" si="7"/>
        <v>144000</v>
      </c>
      <c r="K25" s="38">
        <f t="shared" si="2"/>
        <v>7200</v>
      </c>
      <c r="L25" s="39">
        <v>80.0</v>
      </c>
      <c r="M25" s="38">
        <f t="shared" si="13"/>
        <v>115200</v>
      </c>
      <c r="N25" s="38">
        <f>J25*0.09</f>
        <v>12960</v>
      </c>
      <c r="O25" s="38"/>
      <c r="P25" s="38"/>
      <c r="Q25" s="40">
        <f t="shared" ref="Q25:Q26" si="15">J25-M25-N25</f>
        <v>15840</v>
      </c>
      <c r="R25" s="39"/>
      <c r="S25" s="39"/>
      <c r="T25" s="39" t="s">
        <v>143</v>
      </c>
      <c r="U25" s="47"/>
      <c r="V25" s="47"/>
      <c r="W25" s="47"/>
      <c r="X25" s="43"/>
      <c r="Y25" s="44"/>
      <c r="Z25" s="44"/>
      <c r="AA25" s="44"/>
      <c r="AB25" s="44"/>
      <c r="AC25" s="44"/>
      <c r="AD25" s="44"/>
      <c r="AE25" s="44"/>
      <c r="AF25" s="44"/>
      <c r="AG25" s="44"/>
      <c r="AH25" s="44"/>
      <c r="AI25" s="44"/>
      <c r="AJ25" s="44"/>
      <c r="AK25" s="44"/>
      <c r="AL25" s="44"/>
    </row>
    <row r="26">
      <c r="A26" s="34" t="b">
        <v>0</v>
      </c>
      <c r="B26" s="35">
        <v>45407.0</v>
      </c>
      <c r="C26" s="18" t="s">
        <v>219</v>
      </c>
      <c r="D26" s="37" t="s">
        <v>220</v>
      </c>
      <c r="E26" s="37" t="s">
        <v>221</v>
      </c>
      <c r="F26" s="37" t="s">
        <v>222</v>
      </c>
      <c r="G26" s="38">
        <v>3712239.0</v>
      </c>
      <c r="H26" s="39" t="s">
        <v>223</v>
      </c>
      <c r="I26" s="39">
        <v>5.0</v>
      </c>
      <c r="J26" s="38">
        <f t="shared" si="7"/>
        <v>185611.95</v>
      </c>
      <c r="K26" s="38">
        <f t="shared" si="2"/>
        <v>9280.5975</v>
      </c>
      <c r="L26" s="39">
        <v>83.0</v>
      </c>
      <c r="M26" s="38">
        <f t="shared" si="13"/>
        <v>154057.9185</v>
      </c>
      <c r="N26" s="38">
        <f>J26*0.05</f>
        <v>9280.5975</v>
      </c>
      <c r="O26" s="38"/>
      <c r="P26" s="38"/>
      <c r="Q26" s="40">
        <f t="shared" si="15"/>
        <v>22273.434</v>
      </c>
      <c r="R26" s="39"/>
      <c r="S26" s="39"/>
      <c r="T26" s="39" t="s">
        <v>143</v>
      </c>
      <c r="U26" s="39" t="s">
        <v>224</v>
      </c>
      <c r="V26" s="47"/>
      <c r="W26" s="39" t="s">
        <v>225</v>
      </c>
      <c r="X26" s="43"/>
      <c r="Y26" s="44"/>
      <c r="Z26" s="44"/>
      <c r="AA26" s="44"/>
      <c r="AB26" s="44"/>
      <c r="AC26" s="44"/>
      <c r="AD26" s="44"/>
      <c r="AE26" s="44"/>
      <c r="AF26" s="44"/>
      <c r="AG26" s="44"/>
      <c r="AH26" s="44"/>
      <c r="AI26" s="44"/>
      <c r="AJ26" s="44"/>
      <c r="AK26" s="44"/>
      <c r="AL26" s="44"/>
    </row>
    <row r="27">
      <c r="A27" s="34" t="b">
        <v>0</v>
      </c>
      <c r="B27" s="35">
        <v>45412.0</v>
      </c>
      <c r="C27" s="18" t="s">
        <v>157</v>
      </c>
      <c r="D27" s="37" t="s">
        <v>226</v>
      </c>
      <c r="E27" s="37" t="s">
        <v>184</v>
      </c>
      <c r="F27" s="37" t="s">
        <v>156</v>
      </c>
      <c r="G27" s="38">
        <v>2000000.0</v>
      </c>
      <c r="H27" s="39" t="s">
        <v>227</v>
      </c>
      <c r="I27" s="39">
        <v>5.0</v>
      </c>
      <c r="J27" s="38">
        <f t="shared" si="7"/>
        <v>100000</v>
      </c>
      <c r="K27" s="38">
        <f t="shared" si="2"/>
        <v>5000</v>
      </c>
      <c r="L27" s="39">
        <v>0.0</v>
      </c>
      <c r="M27" s="38">
        <f t="shared" si="13"/>
        <v>0</v>
      </c>
      <c r="N27" s="38" t="s">
        <v>156</v>
      </c>
      <c r="O27" s="38"/>
      <c r="P27" s="38"/>
      <c r="Q27" s="40">
        <f>J27-M27</f>
        <v>100000</v>
      </c>
      <c r="R27" s="49">
        <v>45573.0</v>
      </c>
      <c r="S27" s="39"/>
      <c r="T27" s="39" t="s">
        <v>228</v>
      </c>
      <c r="U27" s="50"/>
      <c r="V27" s="51"/>
      <c r="W27" s="51"/>
      <c r="X27" s="52"/>
      <c r="Y27" s="44"/>
      <c r="Z27" s="44"/>
      <c r="AA27" s="44"/>
      <c r="AB27" s="44"/>
      <c r="AC27" s="44"/>
      <c r="AD27" s="44"/>
      <c r="AE27" s="44"/>
      <c r="AF27" s="44"/>
      <c r="AG27" s="44"/>
      <c r="AH27" s="44"/>
      <c r="AI27" s="44"/>
      <c r="AJ27" s="44"/>
      <c r="AK27" s="44"/>
      <c r="AL27" s="44"/>
    </row>
    <row r="28">
      <c r="A28" s="34" t="b">
        <v>0</v>
      </c>
      <c r="B28" s="35">
        <v>45417.0</v>
      </c>
      <c r="C28" s="18" t="s">
        <v>150</v>
      </c>
      <c r="D28" s="37" t="s">
        <v>229</v>
      </c>
      <c r="E28" s="37" t="s">
        <v>200</v>
      </c>
      <c r="F28" s="37" t="s">
        <v>201</v>
      </c>
      <c r="G28" s="38">
        <v>1334000.0</v>
      </c>
      <c r="H28" s="39" t="s">
        <v>230</v>
      </c>
      <c r="I28" s="39">
        <v>5.0</v>
      </c>
      <c r="J28" s="38">
        <f t="shared" si="7"/>
        <v>66700</v>
      </c>
      <c r="K28" s="38">
        <f t="shared" si="2"/>
        <v>3335</v>
      </c>
      <c r="L28" s="39">
        <v>83.0</v>
      </c>
      <c r="M28" s="38">
        <f t="shared" si="13"/>
        <v>55361</v>
      </c>
      <c r="N28" s="38">
        <v>800.0</v>
      </c>
      <c r="O28" s="38"/>
      <c r="P28" s="38"/>
      <c r="Q28" s="40">
        <f>J28-M28-N28</f>
        <v>10539</v>
      </c>
      <c r="R28" s="39"/>
      <c r="S28" s="39"/>
      <c r="T28" s="39" t="s">
        <v>143</v>
      </c>
      <c r="U28" s="39" t="s">
        <v>231</v>
      </c>
      <c r="V28" s="39" t="s">
        <v>155</v>
      </c>
      <c r="W28" s="47"/>
      <c r="X28" s="45" t="s">
        <v>2</v>
      </c>
      <c r="Y28" s="53"/>
      <c r="Z28" s="53"/>
      <c r="AA28" s="53"/>
      <c r="AB28" s="53"/>
      <c r="AC28" s="53"/>
      <c r="AD28" s="53"/>
      <c r="AE28" s="53"/>
      <c r="AF28" s="53"/>
      <c r="AG28" s="53"/>
      <c r="AH28" s="53"/>
      <c r="AI28" s="53"/>
      <c r="AJ28" s="53"/>
      <c r="AK28" s="53"/>
      <c r="AL28" s="53"/>
    </row>
    <row r="29">
      <c r="A29" s="34" t="b">
        <v>0</v>
      </c>
      <c r="B29" s="35">
        <v>45418.0</v>
      </c>
      <c r="C29" s="18" t="s">
        <v>150</v>
      </c>
      <c r="D29" s="37" t="s">
        <v>232</v>
      </c>
      <c r="E29" s="37" t="s">
        <v>233</v>
      </c>
      <c r="F29" s="37" t="s">
        <v>156</v>
      </c>
      <c r="G29" s="38">
        <v>1150909.0</v>
      </c>
      <c r="H29" s="39" t="s">
        <v>234</v>
      </c>
      <c r="I29" s="39">
        <v>5.0</v>
      </c>
      <c r="J29" s="38">
        <f t="shared" si="7"/>
        <v>57545.45</v>
      </c>
      <c r="K29" s="38">
        <f t="shared" si="2"/>
        <v>2877.2725</v>
      </c>
      <c r="L29" s="39">
        <v>88.0</v>
      </c>
      <c r="M29" s="38">
        <f t="shared" si="13"/>
        <v>50639.996</v>
      </c>
      <c r="N29" s="38" t="s">
        <v>156</v>
      </c>
      <c r="O29" s="38"/>
      <c r="P29" s="38"/>
      <c r="Q29" s="40">
        <f>J29-M29</f>
        <v>6905.454</v>
      </c>
      <c r="R29" s="39"/>
      <c r="S29" s="39"/>
      <c r="T29" s="39" t="s">
        <v>143</v>
      </c>
      <c r="U29" s="47"/>
      <c r="V29" s="47"/>
      <c r="W29" s="47"/>
      <c r="X29" s="43"/>
      <c r="Y29" s="44"/>
      <c r="Z29" s="44"/>
      <c r="AA29" s="44"/>
      <c r="AB29" s="44"/>
      <c r="AC29" s="44"/>
      <c r="AD29" s="44"/>
      <c r="AE29" s="44"/>
      <c r="AF29" s="44"/>
      <c r="AG29" s="44"/>
      <c r="AH29" s="44"/>
      <c r="AI29" s="44"/>
      <c r="AJ29" s="44"/>
      <c r="AK29" s="44"/>
      <c r="AL29" s="44"/>
    </row>
    <row r="30">
      <c r="A30" s="34" t="b">
        <v>0</v>
      </c>
      <c r="B30" s="35">
        <v>45420.0</v>
      </c>
      <c r="C30" s="18" t="s">
        <v>150</v>
      </c>
      <c r="D30" s="37" t="s">
        <v>235</v>
      </c>
      <c r="E30" s="37" t="s">
        <v>236</v>
      </c>
      <c r="F30" s="37" t="s">
        <v>237</v>
      </c>
      <c r="G30" s="38">
        <v>886875.44</v>
      </c>
      <c r="H30" s="39" t="s">
        <v>238</v>
      </c>
      <c r="I30" s="39">
        <v>5.0</v>
      </c>
      <c r="J30" s="38">
        <f t="shared" si="7"/>
        <v>44343.772</v>
      </c>
      <c r="K30" s="38">
        <f t="shared" si="2"/>
        <v>2217.1886</v>
      </c>
      <c r="L30" s="39">
        <v>88.0</v>
      </c>
      <c r="M30" s="38">
        <f t="shared" si="13"/>
        <v>39022.51936</v>
      </c>
      <c r="N30" s="38">
        <v>0.0</v>
      </c>
      <c r="O30" s="38">
        <f>J30*0.01</f>
        <v>443.43772</v>
      </c>
      <c r="P30" s="38"/>
      <c r="Q30" s="40">
        <f t="shared" ref="Q30:Q40" si="16">J30-M30-N30</f>
        <v>5321.25264</v>
      </c>
      <c r="R30" s="39"/>
      <c r="S30" s="39"/>
      <c r="T30" s="39" t="s">
        <v>239</v>
      </c>
      <c r="U30" s="54" t="s">
        <v>240</v>
      </c>
      <c r="V30" s="47"/>
      <c r="W30" s="47"/>
      <c r="X30" s="43"/>
      <c r="Y30" s="44"/>
      <c r="Z30" s="44"/>
      <c r="AA30" s="44"/>
      <c r="AB30" s="44"/>
      <c r="AC30" s="44"/>
      <c r="AD30" s="44"/>
      <c r="AE30" s="44"/>
      <c r="AF30" s="44"/>
      <c r="AG30" s="44"/>
      <c r="AH30" s="44"/>
      <c r="AI30" s="44"/>
      <c r="AJ30" s="44"/>
      <c r="AK30" s="44"/>
      <c r="AL30" s="44"/>
    </row>
    <row r="31">
      <c r="A31" s="34" t="b">
        <v>0</v>
      </c>
      <c r="B31" s="35">
        <v>45421.0</v>
      </c>
      <c r="C31" s="18" t="s">
        <v>150</v>
      </c>
      <c r="D31" s="37" t="s">
        <v>241</v>
      </c>
      <c r="E31" s="37" t="s">
        <v>200</v>
      </c>
      <c r="F31" s="37" t="s">
        <v>201</v>
      </c>
      <c r="G31" s="38">
        <v>746090.74</v>
      </c>
      <c r="H31" s="39" t="s">
        <v>242</v>
      </c>
      <c r="I31" s="39">
        <v>3.0</v>
      </c>
      <c r="J31" s="38">
        <f t="shared" si="7"/>
        <v>22382.7222</v>
      </c>
      <c r="K31" s="38">
        <f t="shared" si="2"/>
        <v>1119.13611</v>
      </c>
      <c r="L31" s="39">
        <v>80.0</v>
      </c>
      <c r="M31" s="38">
        <f t="shared" si="13"/>
        <v>17906.17776</v>
      </c>
      <c r="N31" s="38">
        <v>223.0</v>
      </c>
      <c r="O31" s="38"/>
      <c r="P31" s="38"/>
      <c r="Q31" s="40">
        <f t="shared" si="16"/>
        <v>4253.54444</v>
      </c>
      <c r="R31" s="39"/>
      <c r="S31" s="39"/>
      <c r="T31" s="39" t="s">
        <v>143</v>
      </c>
      <c r="U31" s="39" t="s">
        <v>231</v>
      </c>
      <c r="V31" s="39" t="s">
        <v>155</v>
      </c>
      <c r="W31" s="47"/>
      <c r="X31" s="45" t="s">
        <v>44</v>
      </c>
      <c r="Y31" s="44"/>
      <c r="Z31" s="44"/>
      <c r="AA31" s="44"/>
      <c r="AB31" s="44"/>
      <c r="AC31" s="44"/>
      <c r="AD31" s="44"/>
      <c r="AE31" s="44"/>
      <c r="AF31" s="44"/>
      <c r="AG31" s="44"/>
      <c r="AH31" s="44"/>
      <c r="AI31" s="44"/>
      <c r="AJ31" s="44"/>
      <c r="AK31" s="44"/>
      <c r="AL31" s="44"/>
    </row>
    <row r="32">
      <c r="A32" s="34" t="b">
        <v>0</v>
      </c>
      <c r="B32" s="35">
        <v>45421.0</v>
      </c>
      <c r="C32" s="18" t="s">
        <v>150</v>
      </c>
      <c r="D32" s="37" t="s">
        <v>243</v>
      </c>
      <c r="E32" s="37" t="s">
        <v>200</v>
      </c>
      <c r="F32" s="37" t="s">
        <v>201</v>
      </c>
      <c r="G32" s="38">
        <v>1398625.02</v>
      </c>
      <c r="H32" s="39" t="s">
        <v>242</v>
      </c>
      <c r="I32" s="39">
        <v>3.0</v>
      </c>
      <c r="J32" s="38">
        <f t="shared" si="7"/>
        <v>41958.7506</v>
      </c>
      <c r="K32" s="38">
        <f t="shared" si="2"/>
        <v>2097.93753</v>
      </c>
      <c r="L32" s="39">
        <v>80.0</v>
      </c>
      <c r="M32" s="38">
        <f t="shared" si="13"/>
        <v>33567.00048</v>
      </c>
      <c r="N32" s="38">
        <v>420.0</v>
      </c>
      <c r="O32" s="38"/>
      <c r="P32" s="38"/>
      <c r="Q32" s="40">
        <f t="shared" si="16"/>
        <v>7971.75012</v>
      </c>
      <c r="R32" s="39"/>
      <c r="S32" s="39"/>
      <c r="T32" s="39" t="s">
        <v>143</v>
      </c>
      <c r="U32" s="39" t="s">
        <v>231</v>
      </c>
      <c r="V32" s="39" t="s">
        <v>155</v>
      </c>
      <c r="W32" s="47"/>
      <c r="X32" s="43"/>
      <c r="Y32" s="44"/>
      <c r="Z32" s="44"/>
      <c r="AA32" s="44"/>
      <c r="AB32" s="44"/>
      <c r="AC32" s="44"/>
      <c r="AD32" s="44"/>
      <c r="AE32" s="44"/>
      <c r="AF32" s="44"/>
      <c r="AG32" s="44"/>
      <c r="AH32" s="44"/>
      <c r="AI32" s="44"/>
      <c r="AJ32" s="44"/>
      <c r="AK32" s="44"/>
      <c r="AL32" s="44"/>
    </row>
    <row r="33">
      <c r="A33" s="34" t="b">
        <v>0</v>
      </c>
      <c r="B33" s="35">
        <v>45422.0</v>
      </c>
      <c r="C33" s="18" t="s">
        <v>150</v>
      </c>
      <c r="D33" s="37" t="s">
        <v>244</v>
      </c>
      <c r="E33" s="37" t="s">
        <v>200</v>
      </c>
      <c r="F33" s="37" t="s">
        <v>201</v>
      </c>
      <c r="G33" s="38">
        <v>743153.37</v>
      </c>
      <c r="H33" s="39" t="s">
        <v>242</v>
      </c>
      <c r="I33" s="39">
        <v>3.0</v>
      </c>
      <c r="J33" s="38">
        <f t="shared" si="7"/>
        <v>22294.6011</v>
      </c>
      <c r="K33" s="38">
        <f t="shared" si="2"/>
        <v>1114.730055</v>
      </c>
      <c r="L33" s="39">
        <v>80.0</v>
      </c>
      <c r="M33" s="38">
        <f t="shared" si="13"/>
        <v>17835.68088</v>
      </c>
      <c r="N33" s="38">
        <v>223.0</v>
      </c>
      <c r="O33" s="38"/>
      <c r="P33" s="38"/>
      <c r="Q33" s="40">
        <f t="shared" si="16"/>
        <v>4235.92022</v>
      </c>
      <c r="R33" s="39"/>
      <c r="S33" s="39"/>
      <c r="T33" s="39" t="s">
        <v>143</v>
      </c>
      <c r="U33" s="39" t="s">
        <v>231</v>
      </c>
      <c r="V33" s="39" t="s">
        <v>155</v>
      </c>
      <c r="W33" s="47"/>
      <c r="X33" s="43"/>
      <c r="Y33" s="44"/>
      <c r="Z33" s="44"/>
      <c r="AA33" s="44"/>
      <c r="AB33" s="44"/>
      <c r="AC33" s="44"/>
      <c r="AD33" s="44"/>
      <c r="AE33" s="44"/>
      <c r="AF33" s="44"/>
      <c r="AG33" s="44"/>
      <c r="AH33" s="44"/>
      <c r="AI33" s="44"/>
      <c r="AJ33" s="44"/>
      <c r="AK33" s="44"/>
      <c r="AL33" s="44"/>
    </row>
    <row r="34">
      <c r="A34" s="34" t="b">
        <v>0</v>
      </c>
      <c r="B34" s="35">
        <v>45439.0</v>
      </c>
      <c r="C34" s="18" t="s">
        <v>157</v>
      </c>
      <c r="D34" s="37" t="s">
        <v>245</v>
      </c>
      <c r="E34" s="37" t="s">
        <v>187</v>
      </c>
      <c r="F34" s="37" t="s">
        <v>156</v>
      </c>
      <c r="G34" s="38">
        <v>5253624.6</v>
      </c>
      <c r="H34" s="39" t="s">
        <v>246</v>
      </c>
      <c r="I34" s="39">
        <v>3.0</v>
      </c>
      <c r="J34" s="38">
        <f t="shared" si="7"/>
        <v>157608.738</v>
      </c>
      <c r="K34" s="38">
        <f t="shared" si="2"/>
        <v>7880.4369</v>
      </c>
      <c r="L34" s="39">
        <v>75.0</v>
      </c>
      <c r="M34" s="38">
        <f t="shared" si="13"/>
        <v>118206.5535</v>
      </c>
      <c r="N34" s="38">
        <v>0.0</v>
      </c>
      <c r="O34" s="38"/>
      <c r="P34" s="38"/>
      <c r="Q34" s="40">
        <f t="shared" si="16"/>
        <v>39402.1845</v>
      </c>
      <c r="R34" s="39"/>
      <c r="S34" s="39"/>
      <c r="T34" s="39" t="s">
        <v>143</v>
      </c>
      <c r="U34" s="47"/>
      <c r="V34" s="47"/>
      <c r="W34" s="47"/>
      <c r="X34" s="43"/>
      <c r="Y34" s="44"/>
      <c r="Z34" s="44"/>
      <c r="AA34" s="44"/>
      <c r="AB34" s="44"/>
      <c r="AC34" s="44"/>
      <c r="AD34" s="44"/>
      <c r="AE34" s="44"/>
      <c r="AF34" s="44"/>
      <c r="AG34" s="44"/>
      <c r="AH34" s="44"/>
      <c r="AI34" s="44"/>
      <c r="AJ34" s="44"/>
      <c r="AK34" s="44"/>
      <c r="AL34" s="44"/>
    </row>
    <row r="35">
      <c r="A35" s="34" t="b">
        <v>0</v>
      </c>
      <c r="B35" s="35">
        <v>45441.0</v>
      </c>
      <c r="C35" s="18" t="s">
        <v>157</v>
      </c>
      <c r="D35" s="37" t="s">
        <v>247</v>
      </c>
      <c r="E35" s="37" t="s">
        <v>184</v>
      </c>
      <c r="F35" s="37" t="s">
        <v>156</v>
      </c>
      <c r="G35" s="38">
        <v>8971155.0</v>
      </c>
      <c r="H35" s="39" t="s">
        <v>185</v>
      </c>
      <c r="I35" s="39">
        <v>3.0</v>
      </c>
      <c r="J35" s="38">
        <f t="shared" si="7"/>
        <v>269134.65</v>
      </c>
      <c r="K35" s="38">
        <f t="shared" si="2"/>
        <v>13456.7325</v>
      </c>
      <c r="L35" s="39">
        <v>0.0</v>
      </c>
      <c r="M35" s="38">
        <f t="shared" si="13"/>
        <v>0</v>
      </c>
      <c r="N35" s="38"/>
      <c r="O35" s="38"/>
      <c r="P35" s="38"/>
      <c r="Q35" s="40">
        <f t="shared" si="16"/>
        <v>269134.65</v>
      </c>
      <c r="R35" s="39"/>
      <c r="S35" s="39"/>
      <c r="T35" s="39" t="s">
        <v>143</v>
      </c>
      <c r="U35" s="39" t="s">
        <v>156</v>
      </c>
      <c r="V35" s="39" t="s">
        <v>156</v>
      </c>
      <c r="W35" s="39" t="s">
        <v>156</v>
      </c>
      <c r="X35" s="43"/>
      <c r="Y35" s="44"/>
      <c r="Z35" s="44"/>
      <c r="AA35" s="44"/>
      <c r="AB35" s="44"/>
      <c r="AC35" s="44"/>
      <c r="AD35" s="44"/>
      <c r="AE35" s="44"/>
      <c r="AF35" s="44"/>
      <c r="AG35" s="44"/>
      <c r="AH35" s="44"/>
      <c r="AI35" s="44"/>
      <c r="AJ35" s="44"/>
      <c r="AK35" s="44"/>
      <c r="AL35" s="44"/>
    </row>
    <row r="36">
      <c r="A36" s="34" t="b">
        <v>0</v>
      </c>
      <c r="B36" s="35">
        <v>45448.0</v>
      </c>
      <c r="C36" s="18" t="s">
        <v>150</v>
      </c>
      <c r="D36" s="37" t="s">
        <v>248</v>
      </c>
      <c r="E36" s="37" t="s">
        <v>249</v>
      </c>
      <c r="F36" s="37" t="s">
        <v>156</v>
      </c>
      <c r="G36" s="38">
        <v>1202400.0</v>
      </c>
      <c r="H36" s="39" t="s">
        <v>250</v>
      </c>
      <c r="I36" s="39">
        <v>5.0</v>
      </c>
      <c r="J36" s="38">
        <f t="shared" si="7"/>
        <v>60120</v>
      </c>
      <c r="K36" s="38">
        <f t="shared" si="2"/>
        <v>3006</v>
      </c>
      <c r="L36" s="39">
        <v>88.0</v>
      </c>
      <c r="M36" s="38">
        <f t="shared" si="13"/>
        <v>52905.6</v>
      </c>
      <c r="N36" s="38"/>
      <c r="O36" s="38"/>
      <c r="P36" s="38"/>
      <c r="Q36" s="40">
        <f t="shared" si="16"/>
        <v>7214.4</v>
      </c>
      <c r="R36" s="39"/>
      <c r="S36" s="39"/>
      <c r="T36" s="39" t="s">
        <v>143</v>
      </c>
      <c r="U36" s="54" t="s">
        <v>251</v>
      </c>
      <c r="V36" s="47"/>
      <c r="W36" s="47"/>
      <c r="X36" s="45" t="s">
        <v>2</v>
      </c>
      <c r="Y36" s="44"/>
      <c r="Z36" s="44"/>
      <c r="AA36" s="44"/>
      <c r="AB36" s="44"/>
      <c r="AC36" s="44"/>
      <c r="AD36" s="44"/>
      <c r="AE36" s="44"/>
      <c r="AF36" s="44"/>
      <c r="AG36" s="44"/>
      <c r="AH36" s="44"/>
      <c r="AI36" s="44"/>
      <c r="AJ36" s="44"/>
      <c r="AK36" s="44"/>
      <c r="AL36" s="44"/>
    </row>
    <row r="37">
      <c r="A37" s="34" t="b">
        <v>0</v>
      </c>
      <c r="B37" s="35">
        <v>45453.0</v>
      </c>
      <c r="C37" s="18" t="s">
        <v>157</v>
      </c>
      <c r="D37" s="37" t="s">
        <v>252</v>
      </c>
      <c r="E37" s="37" t="s">
        <v>253</v>
      </c>
      <c r="F37" s="37" t="s">
        <v>159</v>
      </c>
      <c r="G37" s="38">
        <v>945053.0</v>
      </c>
      <c r="H37" s="39" t="s">
        <v>161</v>
      </c>
      <c r="I37" s="39">
        <v>7.0</v>
      </c>
      <c r="J37" s="38">
        <f t="shared" si="7"/>
        <v>66153.71</v>
      </c>
      <c r="K37" s="38">
        <f t="shared" si="2"/>
        <v>3307.6855</v>
      </c>
      <c r="L37" s="39">
        <v>50.0</v>
      </c>
      <c r="M37" s="38">
        <f t="shared" si="13"/>
        <v>33076.855</v>
      </c>
      <c r="N37" s="38">
        <f>(J37-M37)*0.25</f>
        <v>8269.21375</v>
      </c>
      <c r="O37" s="38"/>
      <c r="P37" s="38"/>
      <c r="Q37" s="40">
        <f t="shared" si="16"/>
        <v>24807.64125</v>
      </c>
      <c r="R37" s="39"/>
      <c r="S37" s="35">
        <v>45644.0</v>
      </c>
      <c r="T37" s="39" t="s">
        <v>254</v>
      </c>
      <c r="U37" s="51"/>
      <c r="V37" s="51"/>
      <c r="W37" s="51"/>
      <c r="X37" s="52"/>
      <c r="Y37" s="44"/>
      <c r="Z37" s="44"/>
      <c r="AA37" s="44"/>
      <c r="AB37" s="44"/>
      <c r="AC37" s="44"/>
      <c r="AD37" s="44"/>
      <c r="AE37" s="44"/>
      <c r="AF37" s="44"/>
      <c r="AG37" s="44"/>
      <c r="AH37" s="44"/>
      <c r="AI37" s="44"/>
      <c r="AJ37" s="44"/>
      <c r="AK37" s="44"/>
      <c r="AL37" s="44"/>
    </row>
    <row r="38">
      <c r="A38" s="34" t="b">
        <v>0</v>
      </c>
      <c r="B38" s="35">
        <v>45469.0</v>
      </c>
      <c r="C38" s="18" t="s">
        <v>150</v>
      </c>
      <c r="D38" s="37" t="s">
        <v>255</v>
      </c>
      <c r="E38" s="37" t="s">
        <v>256</v>
      </c>
      <c r="F38" s="37" t="s">
        <v>203</v>
      </c>
      <c r="G38" s="38">
        <v>591429.0</v>
      </c>
      <c r="H38" s="39" t="s">
        <v>257</v>
      </c>
      <c r="I38" s="39">
        <v>7.0</v>
      </c>
      <c r="J38" s="38">
        <f t="shared" si="7"/>
        <v>41400.03</v>
      </c>
      <c r="K38" s="38">
        <f t="shared" si="2"/>
        <v>2070.0015</v>
      </c>
      <c r="L38" s="39">
        <v>88.0</v>
      </c>
      <c r="M38" s="38">
        <f t="shared" si="13"/>
        <v>36432.0264</v>
      </c>
      <c r="N38" s="38">
        <f>J38*1%</f>
        <v>414.0003</v>
      </c>
      <c r="O38" s="38">
        <f>J38*0.01</f>
        <v>414.0003</v>
      </c>
      <c r="P38" s="38"/>
      <c r="Q38" s="40">
        <f t="shared" si="16"/>
        <v>4554.0033</v>
      </c>
      <c r="R38" s="39"/>
      <c r="S38" s="39"/>
      <c r="T38" s="39" t="s">
        <v>143</v>
      </c>
      <c r="U38" s="47"/>
      <c r="V38" s="47"/>
      <c r="W38" s="47"/>
      <c r="X38" s="45" t="s">
        <v>44</v>
      </c>
      <c r="Y38" s="53"/>
      <c r="Z38" s="53"/>
      <c r="AA38" s="53"/>
      <c r="AB38" s="53"/>
      <c r="AC38" s="53"/>
      <c r="AD38" s="53"/>
      <c r="AE38" s="53"/>
      <c r="AF38" s="53"/>
      <c r="AG38" s="53"/>
      <c r="AH38" s="53"/>
      <c r="AI38" s="53"/>
      <c r="AJ38" s="53"/>
      <c r="AK38" s="53"/>
      <c r="AL38" s="53"/>
    </row>
    <row r="39">
      <c r="A39" s="34" t="b">
        <v>0</v>
      </c>
      <c r="B39" s="35">
        <v>45470.0</v>
      </c>
      <c r="C39" s="18" t="s">
        <v>150</v>
      </c>
      <c r="D39" s="37" t="s">
        <v>258</v>
      </c>
      <c r="E39" s="37" t="s">
        <v>233</v>
      </c>
      <c r="F39" s="37" t="s">
        <v>156</v>
      </c>
      <c r="G39" s="38">
        <v>8880000.0</v>
      </c>
      <c r="H39" s="39" t="s">
        <v>259</v>
      </c>
      <c r="I39" s="39">
        <v>3.0</v>
      </c>
      <c r="J39" s="38">
        <f t="shared" si="7"/>
        <v>266400</v>
      </c>
      <c r="K39" s="38">
        <f t="shared" si="2"/>
        <v>13320</v>
      </c>
      <c r="L39" s="39">
        <v>88.0</v>
      </c>
      <c r="M39" s="38">
        <f t="shared" si="13"/>
        <v>234432</v>
      </c>
      <c r="N39" s="38">
        <f>J39*2.5%</f>
        <v>6660</v>
      </c>
      <c r="O39" s="38"/>
      <c r="P39" s="38"/>
      <c r="Q39" s="40">
        <f t="shared" si="16"/>
        <v>25308</v>
      </c>
      <c r="R39" s="39"/>
      <c r="S39" s="39"/>
      <c r="T39" s="39" t="s">
        <v>143</v>
      </c>
      <c r="U39" s="39" t="s">
        <v>260</v>
      </c>
      <c r="V39" s="39" t="s">
        <v>155</v>
      </c>
      <c r="W39" s="39" t="s">
        <v>155</v>
      </c>
      <c r="X39" s="43"/>
      <c r="Y39" s="44"/>
      <c r="Z39" s="44"/>
      <c r="AA39" s="44"/>
      <c r="AB39" s="44"/>
      <c r="AC39" s="44"/>
      <c r="AD39" s="44"/>
      <c r="AE39" s="44"/>
      <c r="AF39" s="44"/>
      <c r="AG39" s="44"/>
      <c r="AH39" s="44"/>
      <c r="AI39" s="44"/>
      <c r="AJ39" s="44"/>
      <c r="AK39" s="44"/>
      <c r="AL39" s="44"/>
    </row>
    <row r="40">
      <c r="A40" s="34" t="b">
        <v>0</v>
      </c>
      <c r="B40" s="35">
        <v>45472.0</v>
      </c>
      <c r="C40" s="18" t="s">
        <v>150</v>
      </c>
      <c r="D40" s="37" t="s">
        <v>261</v>
      </c>
      <c r="E40" s="37" t="s">
        <v>262</v>
      </c>
      <c r="F40" s="37" t="s">
        <v>263</v>
      </c>
      <c r="G40" s="38">
        <v>858888.0</v>
      </c>
      <c r="H40" s="39" t="s">
        <v>264</v>
      </c>
      <c r="I40" s="39">
        <v>4.0</v>
      </c>
      <c r="J40" s="38">
        <f t="shared" si="7"/>
        <v>34355.52</v>
      </c>
      <c r="K40" s="38">
        <f t="shared" si="2"/>
        <v>1717.776</v>
      </c>
      <c r="L40" s="39">
        <v>88.0</v>
      </c>
      <c r="M40" s="38">
        <f t="shared" si="13"/>
        <v>30232.8576</v>
      </c>
      <c r="N40" s="38">
        <f t="shared" ref="N40:N41" si="17">J40*0.015</f>
        <v>515.3328</v>
      </c>
      <c r="O40" s="38"/>
      <c r="P40" s="38"/>
      <c r="Q40" s="40">
        <f t="shared" si="16"/>
        <v>3607.3296</v>
      </c>
      <c r="R40" s="39"/>
      <c r="S40" s="39"/>
      <c r="T40" s="39" t="s">
        <v>265</v>
      </c>
      <c r="U40" s="47"/>
      <c r="V40" s="47"/>
      <c r="W40" s="47"/>
      <c r="X40" s="43"/>
      <c r="Y40" s="44"/>
      <c r="Z40" s="44"/>
      <c r="AA40" s="44"/>
      <c r="AB40" s="44"/>
      <c r="AC40" s="44"/>
      <c r="AD40" s="44"/>
      <c r="AE40" s="44"/>
      <c r="AF40" s="44"/>
      <c r="AG40" s="44"/>
      <c r="AH40" s="44"/>
      <c r="AI40" s="44"/>
      <c r="AJ40" s="44"/>
      <c r="AK40" s="44"/>
      <c r="AL40" s="44"/>
    </row>
    <row r="41">
      <c r="A41" s="34" t="b">
        <v>0</v>
      </c>
      <c r="B41" s="35">
        <v>45474.0</v>
      </c>
      <c r="C41" s="18" t="s">
        <v>150</v>
      </c>
      <c r="D41" s="37" t="s">
        <v>266</v>
      </c>
      <c r="E41" s="37" t="s">
        <v>262</v>
      </c>
      <c r="F41" s="37" t="s">
        <v>222</v>
      </c>
      <c r="G41" s="38">
        <v>995366.0</v>
      </c>
      <c r="H41" s="39" t="s">
        <v>267</v>
      </c>
      <c r="I41" s="39">
        <v>5.0</v>
      </c>
      <c r="J41" s="38">
        <f t="shared" si="7"/>
        <v>49768.3</v>
      </c>
      <c r="K41" s="38">
        <f t="shared" si="2"/>
        <v>2488.415</v>
      </c>
      <c r="L41" s="39">
        <v>88.0</v>
      </c>
      <c r="M41" s="38">
        <f t="shared" si="13"/>
        <v>43796.104</v>
      </c>
      <c r="N41" s="38">
        <f t="shared" si="17"/>
        <v>746.5245</v>
      </c>
      <c r="O41" s="38"/>
      <c r="P41" s="38">
        <f>J41*0.015</f>
        <v>746.5245</v>
      </c>
      <c r="Q41" s="40">
        <f>J41-M41-N41-P41</f>
        <v>4479.147</v>
      </c>
      <c r="R41" s="39"/>
      <c r="S41" s="39"/>
      <c r="T41" s="39" t="s">
        <v>268</v>
      </c>
      <c r="U41" s="39" t="s">
        <v>269</v>
      </c>
      <c r="V41" s="39" t="s">
        <v>155</v>
      </c>
      <c r="W41" s="39" t="s">
        <v>155</v>
      </c>
      <c r="X41" s="45" t="s">
        <v>222</v>
      </c>
      <c r="Y41" s="44"/>
      <c r="Z41" s="44"/>
      <c r="AA41" s="44"/>
      <c r="AB41" s="44"/>
      <c r="AC41" s="44"/>
      <c r="AD41" s="44"/>
      <c r="AE41" s="44"/>
      <c r="AF41" s="44"/>
      <c r="AG41" s="44"/>
      <c r="AH41" s="44"/>
      <c r="AI41" s="44"/>
      <c r="AJ41" s="44"/>
      <c r="AK41" s="44"/>
      <c r="AL41" s="44"/>
    </row>
    <row r="42">
      <c r="A42" s="34" t="b">
        <v>0</v>
      </c>
      <c r="B42" s="35">
        <v>45475.0</v>
      </c>
      <c r="C42" s="18" t="s">
        <v>150</v>
      </c>
      <c r="D42" s="37" t="s">
        <v>270</v>
      </c>
      <c r="E42" s="37" t="s">
        <v>233</v>
      </c>
      <c r="F42" s="37" t="s">
        <v>156</v>
      </c>
      <c r="G42" s="38">
        <v>8880000.0</v>
      </c>
      <c r="H42" s="39" t="s">
        <v>259</v>
      </c>
      <c r="I42" s="39">
        <v>3.0</v>
      </c>
      <c r="J42" s="38">
        <f t="shared" si="7"/>
        <v>266400</v>
      </c>
      <c r="K42" s="38">
        <f t="shared" si="2"/>
        <v>13320</v>
      </c>
      <c r="L42" s="39">
        <v>88.0</v>
      </c>
      <c r="M42" s="38">
        <f t="shared" si="13"/>
        <v>234432</v>
      </c>
      <c r="N42" s="38">
        <f>J42*2.5%</f>
        <v>6660</v>
      </c>
      <c r="O42" s="38"/>
      <c r="P42" s="38"/>
      <c r="Q42" s="40">
        <f t="shared" ref="Q42:Q49" si="18">J42-M42-N42</f>
        <v>25308</v>
      </c>
      <c r="R42" s="39"/>
      <c r="S42" s="39"/>
      <c r="T42" s="39" t="s">
        <v>143</v>
      </c>
      <c r="U42" s="54" t="s">
        <v>271</v>
      </c>
      <c r="V42" s="51"/>
      <c r="W42" s="51"/>
      <c r="X42" s="55" t="s">
        <v>222</v>
      </c>
      <c r="Y42" s="44"/>
      <c r="Z42" s="44"/>
      <c r="AA42" s="44"/>
      <c r="AB42" s="44"/>
      <c r="AC42" s="44"/>
      <c r="AD42" s="44"/>
      <c r="AE42" s="44"/>
      <c r="AF42" s="44"/>
      <c r="AG42" s="44"/>
      <c r="AH42" s="44"/>
      <c r="AI42" s="44"/>
      <c r="AJ42" s="44"/>
      <c r="AK42" s="44"/>
      <c r="AL42" s="44"/>
    </row>
    <row r="43">
      <c r="A43" s="34" t="b">
        <v>0</v>
      </c>
      <c r="B43" s="35">
        <v>45482.0</v>
      </c>
      <c r="C43" s="18" t="s">
        <v>150</v>
      </c>
      <c r="D43" s="37" t="s">
        <v>272</v>
      </c>
      <c r="E43" s="56" t="s">
        <v>152</v>
      </c>
      <c r="F43" s="37" t="s">
        <v>222</v>
      </c>
      <c r="G43" s="38">
        <v>2731888.0</v>
      </c>
      <c r="H43" s="57" t="s">
        <v>273</v>
      </c>
      <c r="I43" s="39">
        <v>4.0</v>
      </c>
      <c r="J43" s="38">
        <f t="shared" si="7"/>
        <v>109275.52</v>
      </c>
      <c r="K43" s="38">
        <f t="shared" si="2"/>
        <v>5463.776</v>
      </c>
      <c r="L43" s="39">
        <v>88.0</v>
      </c>
      <c r="M43" s="38">
        <f t="shared" si="13"/>
        <v>96162.4576</v>
      </c>
      <c r="N43" s="38">
        <f t="shared" ref="N43:N44" si="19">J43*0.015</f>
        <v>1639.1328</v>
      </c>
      <c r="O43" s="38"/>
      <c r="P43" s="38"/>
      <c r="Q43" s="40">
        <f t="shared" si="18"/>
        <v>11473.9296</v>
      </c>
      <c r="R43" s="39"/>
      <c r="S43" s="39"/>
      <c r="T43" s="39" t="s">
        <v>143</v>
      </c>
      <c r="U43" s="54" t="s">
        <v>271</v>
      </c>
      <c r="V43" s="51"/>
      <c r="W43" s="51"/>
      <c r="X43" s="52"/>
      <c r="Y43" s="53"/>
      <c r="Z43" s="53"/>
      <c r="AA43" s="53"/>
      <c r="AB43" s="53"/>
      <c r="AC43" s="53"/>
      <c r="AD43" s="53"/>
      <c r="AE43" s="53"/>
      <c r="AF43" s="53"/>
      <c r="AG43" s="53"/>
      <c r="AH43" s="53"/>
      <c r="AI43" s="53"/>
      <c r="AJ43" s="53"/>
      <c r="AK43" s="53"/>
      <c r="AL43" s="53"/>
    </row>
    <row r="44">
      <c r="A44" s="34" t="b">
        <v>0</v>
      </c>
      <c r="B44" s="35">
        <v>45482.0</v>
      </c>
      <c r="C44" s="18" t="s">
        <v>150</v>
      </c>
      <c r="D44" s="37" t="s">
        <v>272</v>
      </c>
      <c r="E44" s="37" t="s">
        <v>152</v>
      </c>
      <c r="F44" s="37" t="s">
        <v>222</v>
      </c>
      <c r="G44" s="38">
        <v>2884888.0</v>
      </c>
      <c r="H44" s="39" t="s">
        <v>273</v>
      </c>
      <c r="I44" s="39">
        <v>4.0</v>
      </c>
      <c r="J44" s="38">
        <f t="shared" si="7"/>
        <v>115395.52</v>
      </c>
      <c r="K44" s="38">
        <f t="shared" si="2"/>
        <v>5769.776</v>
      </c>
      <c r="L44" s="39">
        <v>88.0</v>
      </c>
      <c r="M44" s="38">
        <f t="shared" si="13"/>
        <v>101548.0576</v>
      </c>
      <c r="N44" s="38">
        <f t="shared" si="19"/>
        <v>1730.9328</v>
      </c>
      <c r="O44" s="38"/>
      <c r="P44" s="38"/>
      <c r="Q44" s="40">
        <f t="shared" si="18"/>
        <v>12116.5296</v>
      </c>
      <c r="R44" s="39"/>
      <c r="S44" s="39"/>
      <c r="T44" s="39" t="s">
        <v>143</v>
      </c>
      <c r="U44" s="58"/>
      <c r="V44" s="39" t="s">
        <v>155</v>
      </c>
      <c r="W44" s="47"/>
      <c r="X44" s="45" t="s">
        <v>222</v>
      </c>
      <c r="Y44" s="53"/>
      <c r="Z44" s="53"/>
      <c r="AA44" s="53"/>
      <c r="AB44" s="53"/>
      <c r="AC44" s="53"/>
      <c r="AD44" s="53"/>
      <c r="AE44" s="53"/>
      <c r="AF44" s="53"/>
      <c r="AG44" s="53"/>
      <c r="AH44" s="53"/>
      <c r="AI44" s="53"/>
      <c r="AJ44" s="53"/>
      <c r="AK44" s="53"/>
      <c r="AL44" s="53"/>
    </row>
    <row r="45">
      <c r="A45" s="34" t="b">
        <v>0</v>
      </c>
      <c r="B45" s="35">
        <v>45484.0</v>
      </c>
      <c r="C45" s="18" t="s">
        <v>150</v>
      </c>
      <c r="D45" s="37" t="s">
        <v>274</v>
      </c>
      <c r="E45" s="37" t="s">
        <v>275</v>
      </c>
      <c r="F45" s="37" t="s">
        <v>237</v>
      </c>
      <c r="G45" s="38">
        <v>1298670.0</v>
      </c>
      <c r="H45" s="39" t="s">
        <v>185</v>
      </c>
      <c r="I45" s="39">
        <v>4.0</v>
      </c>
      <c r="J45" s="38">
        <f t="shared" si="7"/>
        <v>51946.8</v>
      </c>
      <c r="K45" s="38">
        <f t="shared" si="2"/>
        <v>2597.34</v>
      </c>
      <c r="L45" s="39">
        <v>88.0</v>
      </c>
      <c r="M45" s="38">
        <f t="shared" si="13"/>
        <v>45713.184</v>
      </c>
      <c r="N45" s="38">
        <f t="shared" ref="N45:N46" si="20">J45*0.01</f>
        <v>519.468</v>
      </c>
      <c r="O45" s="38">
        <f t="shared" ref="O45:O46" si="21">J45*0.01</f>
        <v>519.468</v>
      </c>
      <c r="P45" s="38"/>
      <c r="Q45" s="40">
        <f t="shared" si="18"/>
        <v>5714.148</v>
      </c>
      <c r="R45" s="49">
        <v>45630.0</v>
      </c>
      <c r="S45" s="39"/>
      <c r="T45" s="39" t="s">
        <v>276</v>
      </c>
      <c r="U45" s="59" t="s">
        <v>277</v>
      </c>
      <c r="V45" s="39" t="s">
        <v>155</v>
      </c>
      <c r="W45" s="47"/>
      <c r="X45" s="45" t="s">
        <v>44</v>
      </c>
      <c r="Y45" s="44"/>
      <c r="Z45" s="44"/>
      <c r="AA45" s="44"/>
      <c r="AB45" s="44"/>
      <c r="AC45" s="44"/>
      <c r="AD45" s="44"/>
      <c r="AE45" s="44"/>
      <c r="AF45" s="44"/>
      <c r="AG45" s="44"/>
      <c r="AH45" s="44"/>
      <c r="AI45" s="44"/>
      <c r="AJ45" s="44"/>
      <c r="AK45" s="44"/>
      <c r="AL45" s="44"/>
    </row>
    <row r="46">
      <c r="A46" s="34" t="b">
        <v>0</v>
      </c>
      <c r="B46" s="35">
        <v>45484.0</v>
      </c>
      <c r="C46" s="18" t="s">
        <v>150</v>
      </c>
      <c r="D46" s="56" t="s">
        <v>274</v>
      </c>
      <c r="E46" s="56" t="s">
        <v>275</v>
      </c>
      <c r="F46" s="37" t="s">
        <v>237</v>
      </c>
      <c r="G46" s="38">
        <v>2083630.0</v>
      </c>
      <c r="H46" s="39" t="s">
        <v>185</v>
      </c>
      <c r="I46" s="39">
        <v>4.0</v>
      </c>
      <c r="J46" s="38">
        <f t="shared" si="7"/>
        <v>83345.2</v>
      </c>
      <c r="K46" s="38">
        <f t="shared" si="2"/>
        <v>4167.26</v>
      </c>
      <c r="L46" s="39">
        <v>88.0</v>
      </c>
      <c r="M46" s="38">
        <f t="shared" si="13"/>
        <v>73343.776</v>
      </c>
      <c r="N46" s="38">
        <f t="shared" si="20"/>
        <v>833.452</v>
      </c>
      <c r="O46" s="38">
        <f t="shared" si="21"/>
        <v>833.452</v>
      </c>
      <c r="P46" s="38"/>
      <c r="Q46" s="40">
        <f t="shared" si="18"/>
        <v>9167.972</v>
      </c>
      <c r="R46" s="39"/>
      <c r="S46" s="39"/>
      <c r="T46" s="39" t="s">
        <v>276</v>
      </c>
      <c r="U46" s="59" t="s">
        <v>277</v>
      </c>
      <c r="V46" s="51" t="s">
        <v>155</v>
      </c>
      <c r="W46" s="51"/>
      <c r="X46" s="55" t="s">
        <v>44</v>
      </c>
      <c r="Y46" s="44"/>
      <c r="Z46" s="44"/>
      <c r="AA46" s="44"/>
      <c r="AB46" s="44"/>
      <c r="AC46" s="44"/>
      <c r="AD46" s="44"/>
      <c r="AE46" s="44"/>
      <c r="AF46" s="44"/>
      <c r="AG46" s="44"/>
      <c r="AH46" s="44"/>
      <c r="AI46" s="44"/>
      <c r="AJ46" s="44"/>
      <c r="AK46" s="44"/>
      <c r="AL46" s="44"/>
    </row>
    <row r="47">
      <c r="A47" s="34" t="b">
        <v>0</v>
      </c>
      <c r="B47" s="35">
        <v>45489.0</v>
      </c>
      <c r="C47" s="18" t="s">
        <v>150</v>
      </c>
      <c r="D47" s="37" t="s">
        <v>278</v>
      </c>
      <c r="E47" s="60" t="s">
        <v>2</v>
      </c>
      <c r="F47" s="37" t="s">
        <v>156</v>
      </c>
      <c r="G47" s="38">
        <v>1136229.12</v>
      </c>
      <c r="H47" s="61" t="s">
        <v>279</v>
      </c>
      <c r="I47" s="39">
        <v>6.0</v>
      </c>
      <c r="J47" s="38">
        <f t="shared" si="7"/>
        <v>68173.7472</v>
      </c>
      <c r="K47" s="38">
        <f t="shared" si="2"/>
        <v>3408.68736</v>
      </c>
      <c r="L47" s="39">
        <v>88.0</v>
      </c>
      <c r="M47" s="38">
        <f t="shared" si="13"/>
        <v>59992.89754</v>
      </c>
      <c r="N47" s="38"/>
      <c r="O47" s="38"/>
      <c r="P47" s="38"/>
      <c r="Q47" s="40">
        <f t="shared" si="18"/>
        <v>8180.849664</v>
      </c>
      <c r="R47" s="39"/>
      <c r="S47" s="49">
        <v>45674.0</v>
      </c>
      <c r="T47" s="39" t="s">
        <v>280</v>
      </c>
      <c r="U47" s="54"/>
      <c r="V47" s="47"/>
      <c r="W47" s="47"/>
      <c r="X47" s="45" t="s">
        <v>2</v>
      </c>
      <c r="Y47" s="44"/>
      <c r="Z47" s="44"/>
      <c r="AA47" s="44"/>
      <c r="AB47" s="44"/>
      <c r="AC47" s="44"/>
      <c r="AD47" s="44"/>
      <c r="AE47" s="44"/>
      <c r="AF47" s="44"/>
      <c r="AG47" s="44"/>
      <c r="AH47" s="44"/>
      <c r="AI47" s="44"/>
      <c r="AJ47" s="44"/>
      <c r="AK47" s="44"/>
      <c r="AL47" s="44"/>
    </row>
    <row r="48">
      <c r="A48" s="34" t="b">
        <v>0</v>
      </c>
      <c r="B48" s="35">
        <v>45491.0</v>
      </c>
      <c r="C48" s="18" t="s">
        <v>150</v>
      </c>
      <c r="D48" s="37" t="s">
        <v>281</v>
      </c>
      <c r="E48" s="37" t="s">
        <v>282</v>
      </c>
      <c r="F48" s="37" t="s">
        <v>283</v>
      </c>
      <c r="G48" s="38">
        <v>602560.0</v>
      </c>
      <c r="H48" s="39" t="s">
        <v>284</v>
      </c>
      <c r="I48" s="39">
        <v>4.0</v>
      </c>
      <c r="J48" s="38">
        <f t="shared" si="7"/>
        <v>24102.4</v>
      </c>
      <c r="K48" s="38">
        <f t="shared" si="2"/>
        <v>1205.12</v>
      </c>
      <c r="L48" s="39">
        <v>80.0</v>
      </c>
      <c r="M48" s="38">
        <f t="shared" si="13"/>
        <v>19281.92</v>
      </c>
      <c r="N48" s="38">
        <v>250.0</v>
      </c>
      <c r="O48" s="38"/>
      <c r="P48" s="38"/>
      <c r="Q48" s="40">
        <f t="shared" si="18"/>
        <v>4570.48</v>
      </c>
      <c r="R48" s="39"/>
      <c r="S48" s="39"/>
      <c r="T48" s="39" t="s">
        <v>285</v>
      </c>
      <c r="U48" s="54" t="s">
        <v>251</v>
      </c>
      <c r="V48" s="47"/>
      <c r="W48" s="47"/>
      <c r="X48" s="45" t="s">
        <v>44</v>
      </c>
    </row>
    <row r="49">
      <c r="A49" s="34" t="b">
        <v>0</v>
      </c>
      <c r="B49" s="35">
        <v>45497.0</v>
      </c>
      <c r="C49" s="18" t="s">
        <v>150</v>
      </c>
      <c r="D49" s="37" t="s">
        <v>286</v>
      </c>
      <c r="E49" s="37" t="s">
        <v>287</v>
      </c>
      <c r="F49" s="37" t="s">
        <v>288</v>
      </c>
      <c r="G49" s="38">
        <v>1918438.0</v>
      </c>
      <c r="H49" s="39" t="s">
        <v>171</v>
      </c>
      <c r="I49" s="39">
        <v>5.0</v>
      </c>
      <c r="J49" s="38">
        <f t="shared" si="7"/>
        <v>95921.9</v>
      </c>
      <c r="K49" s="38">
        <f t="shared" si="2"/>
        <v>4796.095</v>
      </c>
      <c r="L49" s="39">
        <v>88.0</v>
      </c>
      <c r="M49" s="38">
        <f t="shared" si="13"/>
        <v>84411.272</v>
      </c>
      <c r="N49" s="38">
        <f>G49*0.0025</f>
        <v>4796.095</v>
      </c>
      <c r="O49" s="38">
        <f t="shared" ref="O49:O50" si="22">J49*0.01</f>
        <v>959.219</v>
      </c>
      <c r="P49" s="38"/>
      <c r="Q49" s="40">
        <f t="shared" si="18"/>
        <v>6714.533</v>
      </c>
      <c r="R49" s="39"/>
      <c r="S49" s="39"/>
      <c r="T49" s="39" t="s">
        <v>289</v>
      </c>
      <c r="U49" s="39" t="s">
        <v>290</v>
      </c>
      <c r="V49" s="47"/>
      <c r="W49" s="47"/>
      <c r="X49" s="45" t="s">
        <v>44</v>
      </c>
      <c r="Y49" s="44"/>
      <c r="Z49" s="44"/>
      <c r="AA49" s="44"/>
      <c r="AB49" s="44"/>
      <c r="AC49" s="44"/>
      <c r="AD49" s="44"/>
      <c r="AE49" s="44"/>
      <c r="AF49" s="44"/>
      <c r="AG49" s="44"/>
      <c r="AH49" s="44"/>
      <c r="AI49" s="44"/>
      <c r="AJ49" s="44"/>
      <c r="AK49" s="44"/>
      <c r="AL49" s="44"/>
    </row>
    <row r="50">
      <c r="A50" s="34" t="b">
        <v>0</v>
      </c>
      <c r="B50" s="35">
        <v>45504.0</v>
      </c>
      <c r="C50" s="18" t="s">
        <v>150</v>
      </c>
      <c r="D50" s="37" t="s">
        <v>291</v>
      </c>
      <c r="E50" s="37" t="s">
        <v>237</v>
      </c>
      <c r="F50" s="37" t="s">
        <v>292</v>
      </c>
      <c r="G50" s="38">
        <v>1883090.0</v>
      </c>
      <c r="H50" s="39" t="s">
        <v>293</v>
      </c>
      <c r="I50" s="39">
        <v>6.0</v>
      </c>
      <c r="J50" s="38">
        <f t="shared" si="7"/>
        <v>112985.4</v>
      </c>
      <c r="K50" s="38">
        <f t="shared" si="2"/>
        <v>5649.27</v>
      </c>
      <c r="L50" s="39">
        <v>88.0</v>
      </c>
      <c r="M50" s="38">
        <f t="shared" si="13"/>
        <v>99427.152</v>
      </c>
      <c r="N50" s="38">
        <f>J50*0.01</f>
        <v>1129.854</v>
      </c>
      <c r="O50" s="38">
        <f t="shared" si="22"/>
        <v>1129.854</v>
      </c>
      <c r="P50" s="38">
        <f>J50*0.015</f>
        <v>1694.781</v>
      </c>
      <c r="Q50" s="40">
        <f>J50-M50-N50-P50</f>
        <v>10733.613</v>
      </c>
      <c r="R50" s="39"/>
      <c r="S50" s="39"/>
      <c r="T50" s="39" t="s">
        <v>294</v>
      </c>
      <c r="U50" s="39" t="s">
        <v>155</v>
      </c>
      <c r="V50" s="39" t="s">
        <v>155</v>
      </c>
      <c r="W50" s="47"/>
      <c r="X50" s="45" t="s">
        <v>295</v>
      </c>
      <c r="Y50" s="44"/>
      <c r="Z50" s="44"/>
      <c r="AA50" s="44"/>
      <c r="AB50" s="44"/>
      <c r="AC50" s="44"/>
      <c r="AD50" s="44"/>
      <c r="AE50" s="44"/>
      <c r="AF50" s="44"/>
      <c r="AG50" s="44"/>
      <c r="AH50" s="44"/>
      <c r="AI50" s="44"/>
      <c r="AJ50" s="44"/>
      <c r="AK50" s="44"/>
      <c r="AL50" s="44"/>
    </row>
    <row r="51" ht="14.25" customHeight="1">
      <c r="A51" s="34" t="b">
        <v>0</v>
      </c>
      <c r="B51" s="35">
        <v>45504.0</v>
      </c>
      <c r="C51" s="18" t="s">
        <v>150</v>
      </c>
      <c r="D51" s="37" t="s">
        <v>296</v>
      </c>
      <c r="E51" s="37" t="s">
        <v>297</v>
      </c>
      <c r="F51" s="37"/>
      <c r="G51" s="38">
        <v>4873250.0</v>
      </c>
      <c r="H51" s="39" t="s">
        <v>185</v>
      </c>
      <c r="I51" s="39">
        <v>4.0</v>
      </c>
      <c r="J51" s="38">
        <f t="shared" si="7"/>
        <v>194930</v>
      </c>
      <c r="K51" s="38">
        <f t="shared" si="2"/>
        <v>9746.5</v>
      </c>
      <c r="L51" s="39">
        <v>50.0</v>
      </c>
      <c r="M51" s="38">
        <f t="shared" si="13"/>
        <v>97465</v>
      </c>
      <c r="N51" s="38">
        <v>0.0</v>
      </c>
      <c r="O51" s="38"/>
      <c r="P51" s="38"/>
      <c r="Q51" s="40">
        <f t="shared" ref="Q51:Q60" si="23">J51-M51-N51</f>
        <v>97465</v>
      </c>
      <c r="R51" s="39"/>
      <c r="S51" s="39"/>
      <c r="T51" s="47"/>
      <c r="U51" s="47"/>
      <c r="V51" s="47"/>
      <c r="W51" s="47"/>
      <c r="X51" s="45" t="s">
        <v>2</v>
      </c>
      <c r="Y51" s="53"/>
      <c r="Z51" s="53"/>
      <c r="AA51" s="53"/>
      <c r="AB51" s="53"/>
      <c r="AC51" s="53"/>
      <c r="AD51" s="53"/>
      <c r="AE51" s="53"/>
      <c r="AF51" s="53"/>
      <c r="AG51" s="53"/>
      <c r="AH51" s="53"/>
      <c r="AI51" s="53"/>
      <c r="AJ51" s="53"/>
      <c r="AK51" s="53"/>
      <c r="AL51" s="53"/>
    </row>
    <row r="52">
      <c r="A52" s="34" t="b">
        <v>0</v>
      </c>
      <c r="B52" s="35">
        <v>45506.0</v>
      </c>
      <c r="C52" s="18" t="s">
        <v>150</v>
      </c>
      <c r="D52" s="37" t="s">
        <v>298</v>
      </c>
      <c r="E52" s="37" t="s">
        <v>256</v>
      </c>
      <c r="F52" s="38" t="s">
        <v>203</v>
      </c>
      <c r="G52" s="38">
        <v>1127000.0</v>
      </c>
      <c r="H52" s="62" t="s">
        <v>299</v>
      </c>
      <c r="I52" s="39">
        <v>3.0</v>
      </c>
      <c r="J52" s="38">
        <f t="shared" si="7"/>
        <v>33810</v>
      </c>
      <c r="K52" s="38">
        <f t="shared" si="2"/>
        <v>1690.5</v>
      </c>
      <c r="L52" s="39">
        <v>80.0</v>
      </c>
      <c r="M52" s="38">
        <f t="shared" si="13"/>
        <v>27048</v>
      </c>
      <c r="N52" s="38">
        <v>338.0</v>
      </c>
      <c r="O52" s="38">
        <f t="shared" ref="O52:O54" si="24">J52*0.01</f>
        <v>338.1</v>
      </c>
      <c r="P52" s="38"/>
      <c r="Q52" s="40">
        <f t="shared" si="23"/>
        <v>6424</v>
      </c>
      <c r="R52" s="39"/>
      <c r="S52" s="35">
        <v>45621.0</v>
      </c>
      <c r="T52" s="39" t="s">
        <v>300</v>
      </c>
      <c r="U52" s="47"/>
      <c r="V52" s="39" t="s">
        <v>155</v>
      </c>
      <c r="W52" s="47"/>
      <c r="X52" s="45" t="s">
        <v>44</v>
      </c>
      <c r="Y52" s="44"/>
      <c r="Z52" s="44"/>
      <c r="AA52" s="44"/>
      <c r="AB52" s="44"/>
      <c r="AC52" s="44"/>
      <c r="AD52" s="44"/>
      <c r="AE52" s="44"/>
      <c r="AF52" s="44"/>
      <c r="AG52" s="44"/>
      <c r="AH52" s="44"/>
      <c r="AI52" s="44"/>
      <c r="AJ52" s="44"/>
      <c r="AK52" s="44"/>
      <c r="AL52" s="44"/>
    </row>
    <row r="53">
      <c r="A53" s="34" t="b">
        <v>0</v>
      </c>
      <c r="B53" s="35">
        <v>45508.0</v>
      </c>
      <c r="C53" s="18" t="s">
        <v>150</v>
      </c>
      <c r="D53" s="37" t="s">
        <v>301</v>
      </c>
      <c r="E53" s="37" t="s">
        <v>237</v>
      </c>
      <c r="F53" s="37" t="s">
        <v>292</v>
      </c>
      <c r="G53" s="38">
        <v>950000.0</v>
      </c>
      <c r="H53" s="39" t="s">
        <v>302</v>
      </c>
      <c r="I53" s="39">
        <v>5.0</v>
      </c>
      <c r="J53" s="38">
        <f t="shared" si="7"/>
        <v>47500</v>
      </c>
      <c r="K53" s="38">
        <f t="shared" si="2"/>
        <v>2375</v>
      </c>
      <c r="L53" s="39">
        <v>88.0</v>
      </c>
      <c r="M53" s="38">
        <f t="shared" si="13"/>
        <v>41800</v>
      </c>
      <c r="N53" s="38">
        <f t="shared" ref="N53:N54" si="25">J53*0.01</f>
        <v>475</v>
      </c>
      <c r="O53" s="38">
        <f t="shared" si="24"/>
        <v>475</v>
      </c>
      <c r="P53" s="38"/>
      <c r="Q53" s="40">
        <f t="shared" si="23"/>
        <v>5225</v>
      </c>
      <c r="R53" s="39"/>
      <c r="S53" s="39"/>
      <c r="T53" s="39" t="s">
        <v>303</v>
      </c>
      <c r="U53" s="47"/>
      <c r="V53" s="47"/>
      <c r="W53" s="47"/>
      <c r="X53" s="45" t="s">
        <v>295</v>
      </c>
      <c r="Y53" s="44"/>
      <c r="Z53" s="44"/>
      <c r="AA53" s="44"/>
      <c r="AB53" s="44"/>
      <c r="AC53" s="44"/>
      <c r="AD53" s="44"/>
      <c r="AE53" s="44"/>
      <c r="AF53" s="44"/>
      <c r="AG53" s="44"/>
      <c r="AH53" s="44"/>
      <c r="AI53" s="44"/>
      <c r="AJ53" s="44"/>
      <c r="AK53" s="44"/>
      <c r="AL53" s="44"/>
    </row>
    <row r="54">
      <c r="A54" s="34" t="b">
        <v>0</v>
      </c>
      <c r="B54" s="35">
        <v>45513.0</v>
      </c>
      <c r="C54" s="18" t="s">
        <v>150</v>
      </c>
      <c r="D54" s="37" t="s">
        <v>304</v>
      </c>
      <c r="E54" s="37" t="s">
        <v>305</v>
      </c>
      <c r="F54" s="37" t="s">
        <v>306</v>
      </c>
      <c r="G54" s="38">
        <v>1165047.0</v>
      </c>
      <c r="H54" s="39" t="s">
        <v>307</v>
      </c>
      <c r="I54" s="39">
        <v>7.0</v>
      </c>
      <c r="J54" s="38">
        <f t="shared" si="7"/>
        <v>81553.29</v>
      </c>
      <c r="K54" s="38">
        <f t="shared" si="2"/>
        <v>4077.6645</v>
      </c>
      <c r="L54" s="39">
        <v>88.0</v>
      </c>
      <c r="M54" s="38">
        <f t="shared" si="13"/>
        <v>71766.8952</v>
      </c>
      <c r="N54" s="38">
        <f t="shared" si="25"/>
        <v>815.5329</v>
      </c>
      <c r="O54" s="38">
        <f t="shared" si="24"/>
        <v>815.5329</v>
      </c>
      <c r="P54" s="38"/>
      <c r="Q54" s="40">
        <f t="shared" si="23"/>
        <v>8970.8619</v>
      </c>
      <c r="R54" s="39"/>
      <c r="S54" s="39"/>
      <c r="T54" s="39" t="s">
        <v>143</v>
      </c>
      <c r="U54" s="39" t="s">
        <v>155</v>
      </c>
      <c r="V54" s="47"/>
      <c r="W54" s="47"/>
      <c r="X54" s="45" t="s">
        <v>222</v>
      </c>
      <c r="Y54" s="44"/>
      <c r="Z54" s="44"/>
      <c r="AA54" s="44"/>
      <c r="AB54" s="44"/>
      <c r="AC54" s="44"/>
      <c r="AD54" s="44"/>
      <c r="AE54" s="44"/>
      <c r="AF54" s="44"/>
      <c r="AG54" s="44"/>
      <c r="AH54" s="44"/>
      <c r="AI54" s="44"/>
      <c r="AJ54" s="44"/>
      <c r="AK54" s="44"/>
      <c r="AL54" s="44"/>
    </row>
    <row r="55">
      <c r="A55" s="34" t="b">
        <v>0</v>
      </c>
      <c r="B55" s="35">
        <v>45513.0</v>
      </c>
      <c r="C55" s="18" t="s">
        <v>150</v>
      </c>
      <c r="D55" s="37" t="s">
        <v>308</v>
      </c>
      <c r="E55" s="37" t="s">
        <v>309</v>
      </c>
      <c r="F55" s="37" t="s">
        <v>156</v>
      </c>
      <c r="G55" s="38">
        <v>1496496.0</v>
      </c>
      <c r="H55" s="39" t="s">
        <v>310</v>
      </c>
      <c r="I55" s="39">
        <v>5.0</v>
      </c>
      <c r="J55" s="38">
        <f t="shared" si="7"/>
        <v>74824.8</v>
      </c>
      <c r="K55" s="38">
        <f t="shared" si="2"/>
        <v>3741.24</v>
      </c>
      <c r="L55" s="39">
        <v>88.0</v>
      </c>
      <c r="M55" s="38">
        <f t="shared" si="13"/>
        <v>65845.824</v>
      </c>
      <c r="N55" s="38">
        <v>0.0</v>
      </c>
      <c r="O55" s="38"/>
      <c r="P55" s="38"/>
      <c r="Q55" s="40">
        <f t="shared" si="23"/>
        <v>8978.976</v>
      </c>
      <c r="R55" s="39"/>
      <c r="S55" s="39"/>
      <c r="T55" s="39" t="s">
        <v>143</v>
      </c>
      <c r="U55" s="39" t="s">
        <v>155</v>
      </c>
      <c r="V55" s="47"/>
      <c r="W55" s="47"/>
      <c r="X55" s="45" t="s">
        <v>2</v>
      </c>
      <c r="Y55" s="53"/>
      <c r="Z55" s="53"/>
      <c r="AA55" s="53"/>
      <c r="AB55" s="53"/>
      <c r="AC55" s="53"/>
      <c r="AD55" s="53"/>
      <c r="AE55" s="53"/>
      <c r="AF55" s="53"/>
      <c r="AG55" s="53"/>
      <c r="AH55" s="53"/>
      <c r="AI55" s="53"/>
      <c r="AJ55" s="53"/>
      <c r="AK55" s="53"/>
      <c r="AL55" s="53"/>
    </row>
    <row r="56">
      <c r="A56" s="34" t="b">
        <v>0</v>
      </c>
      <c r="B56" s="35">
        <v>45531.0</v>
      </c>
      <c r="C56" s="39" t="s">
        <v>150</v>
      </c>
      <c r="D56" s="37" t="s">
        <v>311</v>
      </c>
      <c r="E56" s="37" t="s">
        <v>200</v>
      </c>
      <c r="F56" s="37" t="s">
        <v>312</v>
      </c>
      <c r="G56" s="38">
        <v>961817.0</v>
      </c>
      <c r="H56" s="39" t="s">
        <v>185</v>
      </c>
      <c r="I56" s="39">
        <v>2.4</v>
      </c>
      <c r="J56" s="38">
        <f t="shared" si="7"/>
        <v>23083.608</v>
      </c>
      <c r="K56" s="38">
        <f t="shared" si="2"/>
        <v>1154.1804</v>
      </c>
      <c r="L56" s="39">
        <v>80.0</v>
      </c>
      <c r="M56" s="38">
        <f t="shared" si="13"/>
        <v>18466.8864</v>
      </c>
      <c r="N56" s="38">
        <f>J56*0.09</f>
        <v>2077.52472</v>
      </c>
      <c r="O56" s="38"/>
      <c r="P56" s="38"/>
      <c r="Q56" s="40">
        <f t="shared" si="23"/>
        <v>2539.19688</v>
      </c>
      <c r="R56" s="49">
        <v>45769.0</v>
      </c>
      <c r="S56" s="49">
        <v>45777.0</v>
      </c>
      <c r="T56" s="63" t="s">
        <v>313</v>
      </c>
      <c r="U56" s="47"/>
      <c r="V56" s="39" t="s">
        <v>314</v>
      </c>
      <c r="W56" s="47"/>
      <c r="X56" s="45" t="s">
        <v>315</v>
      </c>
      <c r="Y56" s="44"/>
      <c r="Z56" s="44"/>
      <c r="AA56" s="44"/>
      <c r="AB56" s="44"/>
      <c r="AC56" s="44"/>
      <c r="AD56" s="44"/>
      <c r="AE56" s="44"/>
      <c r="AF56" s="44"/>
      <c r="AG56" s="44"/>
      <c r="AH56" s="44"/>
      <c r="AI56" s="44"/>
      <c r="AJ56" s="44"/>
      <c r="AK56" s="44"/>
      <c r="AL56" s="44"/>
    </row>
    <row r="57">
      <c r="A57" s="34" t="b">
        <v>0</v>
      </c>
      <c r="B57" s="35">
        <v>45535.0</v>
      </c>
      <c r="C57" s="18" t="s">
        <v>150</v>
      </c>
      <c r="D57" s="37" t="s">
        <v>316</v>
      </c>
      <c r="E57" s="37" t="s">
        <v>305</v>
      </c>
      <c r="F57" s="37" t="s">
        <v>306</v>
      </c>
      <c r="G57" s="38">
        <v>1353580.0</v>
      </c>
      <c r="H57" s="39" t="s">
        <v>307</v>
      </c>
      <c r="I57" s="39">
        <v>7.0</v>
      </c>
      <c r="J57" s="38">
        <f t="shared" si="7"/>
        <v>94750.6</v>
      </c>
      <c r="K57" s="38">
        <f t="shared" si="2"/>
        <v>4737.53</v>
      </c>
      <c r="L57" s="39">
        <v>88.0</v>
      </c>
      <c r="M57" s="38">
        <f t="shared" si="13"/>
        <v>83380.528</v>
      </c>
      <c r="N57" s="38">
        <f t="shared" ref="N57:N61" si="26">J57*0.01</f>
        <v>947.506</v>
      </c>
      <c r="O57" s="38">
        <f t="shared" ref="O57:O61" si="27">J57*0.01</f>
        <v>947.506</v>
      </c>
      <c r="P57" s="38"/>
      <c r="Q57" s="40">
        <f t="shared" si="23"/>
        <v>10422.566</v>
      </c>
      <c r="R57" s="39"/>
      <c r="S57" s="39"/>
      <c r="T57" s="39" t="s">
        <v>143</v>
      </c>
      <c r="U57" s="39" t="s">
        <v>317</v>
      </c>
      <c r="V57" s="39" t="s">
        <v>318</v>
      </c>
      <c r="W57" s="47"/>
      <c r="X57" s="45" t="s">
        <v>2</v>
      </c>
      <c r="Y57" s="53"/>
      <c r="Z57" s="53"/>
      <c r="AA57" s="53"/>
      <c r="AB57" s="53"/>
      <c r="AC57" s="53"/>
      <c r="AD57" s="53"/>
      <c r="AE57" s="53"/>
      <c r="AF57" s="53"/>
      <c r="AG57" s="53"/>
      <c r="AH57" s="53"/>
      <c r="AI57" s="53"/>
      <c r="AJ57" s="53"/>
      <c r="AK57" s="53"/>
      <c r="AL57" s="53"/>
    </row>
    <row r="58">
      <c r="A58" s="34" t="b">
        <v>0</v>
      </c>
      <c r="B58" s="35">
        <v>45535.0</v>
      </c>
      <c r="C58" s="18" t="s">
        <v>150</v>
      </c>
      <c r="D58" s="37" t="s">
        <v>316</v>
      </c>
      <c r="E58" s="37" t="s">
        <v>305</v>
      </c>
      <c r="F58" s="37" t="s">
        <v>306</v>
      </c>
      <c r="G58" s="38">
        <v>1365978.0</v>
      </c>
      <c r="H58" s="39" t="s">
        <v>307</v>
      </c>
      <c r="I58" s="39">
        <v>7.0</v>
      </c>
      <c r="J58" s="38">
        <f t="shared" si="7"/>
        <v>95618.46</v>
      </c>
      <c r="K58" s="38">
        <f t="shared" si="2"/>
        <v>4780.923</v>
      </c>
      <c r="L58" s="39">
        <v>88.0</v>
      </c>
      <c r="M58" s="38">
        <f t="shared" si="13"/>
        <v>84144.2448</v>
      </c>
      <c r="N58" s="38">
        <f t="shared" si="26"/>
        <v>956.1846</v>
      </c>
      <c r="O58" s="38">
        <f t="shared" si="27"/>
        <v>956.1846</v>
      </c>
      <c r="P58" s="38"/>
      <c r="Q58" s="40">
        <f t="shared" si="23"/>
        <v>10518.0306</v>
      </c>
      <c r="R58" s="39"/>
      <c r="S58" s="39"/>
      <c r="T58" s="39" t="s">
        <v>143</v>
      </c>
      <c r="U58" s="39" t="s">
        <v>319</v>
      </c>
      <c r="V58" s="39" t="s">
        <v>320</v>
      </c>
      <c r="W58" s="47"/>
      <c r="X58" s="45" t="s">
        <v>2</v>
      </c>
      <c r="Y58" s="44"/>
      <c r="Z58" s="44"/>
      <c r="AA58" s="44"/>
      <c r="AB58" s="44"/>
      <c r="AC58" s="44"/>
      <c r="AD58" s="44"/>
      <c r="AE58" s="44"/>
      <c r="AF58" s="44"/>
      <c r="AG58" s="44"/>
      <c r="AH58" s="44"/>
      <c r="AI58" s="44"/>
      <c r="AJ58" s="44"/>
      <c r="AK58" s="44"/>
      <c r="AL58" s="44"/>
    </row>
    <row r="59">
      <c r="A59" s="34" t="b">
        <v>0</v>
      </c>
      <c r="B59" s="35">
        <v>45535.0</v>
      </c>
      <c r="C59" s="18" t="s">
        <v>150</v>
      </c>
      <c r="D59" s="37" t="s">
        <v>316</v>
      </c>
      <c r="E59" s="37" t="s">
        <v>305</v>
      </c>
      <c r="F59" s="37" t="s">
        <v>306</v>
      </c>
      <c r="G59" s="38">
        <v>1365978.0</v>
      </c>
      <c r="H59" s="39" t="s">
        <v>307</v>
      </c>
      <c r="I59" s="39">
        <v>7.0</v>
      </c>
      <c r="J59" s="38">
        <f t="shared" si="7"/>
        <v>95618.46</v>
      </c>
      <c r="K59" s="38">
        <f t="shared" si="2"/>
        <v>4780.923</v>
      </c>
      <c r="L59" s="39">
        <v>88.0</v>
      </c>
      <c r="M59" s="38">
        <f t="shared" si="13"/>
        <v>84144.2448</v>
      </c>
      <c r="N59" s="38">
        <f t="shared" si="26"/>
        <v>956.1846</v>
      </c>
      <c r="O59" s="38">
        <f t="shared" si="27"/>
        <v>956.1846</v>
      </c>
      <c r="P59" s="38"/>
      <c r="Q59" s="40">
        <f t="shared" si="23"/>
        <v>10518.0306</v>
      </c>
      <c r="R59" s="39"/>
      <c r="S59" s="39"/>
      <c r="T59" s="39" t="s">
        <v>143</v>
      </c>
      <c r="U59" s="39" t="s">
        <v>321</v>
      </c>
      <c r="V59" s="39" t="s">
        <v>322</v>
      </c>
      <c r="W59" s="47"/>
      <c r="X59" s="45" t="s">
        <v>2</v>
      </c>
      <c r="Y59" s="44"/>
      <c r="Z59" s="44"/>
      <c r="AA59" s="44"/>
      <c r="AB59" s="44"/>
      <c r="AC59" s="44"/>
      <c r="AD59" s="44"/>
      <c r="AE59" s="44"/>
      <c r="AF59" s="44"/>
      <c r="AG59" s="44"/>
      <c r="AH59" s="44"/>
      <c r="AI59" s="44"/>
      <c r="AJ59" s="44"/>
      <c r="AK59" s="44"/>
      <c r="AL59" s="44"/>
    </row>
    <row r="60">
      <c r="A60" s="34" t="b">
        <v>0</v>
      </c>
      <c r="B60" s="35">
        <v>45537.0</v>
      </c>
      <c r="C60" s="18" t="s">
        <v>150</v>
      </c>
      <c r="D60" s="37" t="s">
        <v>323</v>
      </c>
      <c r="E60" s="37" t="s">
        <v>324</v>
      </c>
      <c r="F60" s="37" t="s">
        <v>325</v>
      </c>
      <c r="G60" s="38">
        <v>987000.0</v>
      </c>
      <c r="H60" s="39" t="s">
        <v>326</v>
      </c>
      <c r="I60" s="39">
        <v>5.0</v>
      </c>
      <c r="J60" s="38">
        <f t="shared" si="7"/>
        <v>49350</v>
      </c>
      <c r="K60" s="38">
        <f t="shared" si="2"/>
        <v>2467.5</v>
      </c>
      <c r="L60" s="39">
        <v>88.0</v>
      </c>
      <c r="M60" s="38">
        <f t="shared" si="13"/>
        <v>43428</v>
      </c>
      <c r="N60" s="38">
        <f t="shared" si="26"/>
        <v>493.5</v>
      </c>
      <c r="O60" s="38">
        <f t="shared" si="27"/>
        <v>493.5</v>
      </c>
      <c r="P60" s="38"/>
      <c r="Q60" s="40">
        <f t="shared" si="23"/>
        <v>5428.5</v>
      </c>
      <c r="R60" s="39"/>
      <c r="S60" s="49">
        <v>45659.0</v>
      </c>
      <c r="T60" s="39" t="s">
        <v>327</v>
      </c>
      <c r="U60" s="64" t="s">
        <v>277</v>
      </c>
      <c r="V60" s="51"/>
      <c r="W60" s="51"/>
      <c r="X60" s="55" t="s">
        <v>2</v>
      </c>
      <c r="Y60" s="44"/>
      <c r="Z60" s="44"/>
      <c r="AA60" s="44"/>
      <c r="AB60" s="44"/>
      <c r="AC60" s="44"/>
      <c r="AD60" s="44"/>
      <c r="AE60" s="44"/>
      <c r="AF60" s="44"/>
      <c r="AG60" s="44"/>
      <c r="AH60" s="44"/>
      <c r="AI60" s="44"/>
      <c r="AJ60" s="44"/>
      <c r="AK60" s="44"/>
      <c r="AL60" s="44"/>
    </row>
    <row r="61">
      <c r="A61" s="34" t="b">
        <v>0</v>
      </c>
      <c r="B61" s="35">
        <v>45544.0</v>
      </c>
      <c r="C61" s="39" t="s">
        <v>150</v>
      </c>
      <c r="D61" s="37" t="s">
        <v>328</v>
      </c>
      <c r="E61" s="37" t="s">
        <v>329</v>
      </c>
      <c r="F61" s="37" t="s">
        <v>330</v>
      </c>
      <c r="G61" s="38">
        <v>927444.0</v>
      </c>
      <c r="H61" s="39" t="s">
        <v>238</v>
      </c>
      <c r="I61" s="39">
        <v>5.0</v>
      </c>
      <c r="J61" s="38">
        <f t="shared" si="7"/>
        <v>46372.2</v>
      </c>
      <c r="K61" s="38">
        <f t="shared" si="2"/>
        <v>2318.61</v>
      </c>
      <c r="L61" s="39">
        <v>88.0</v>
      </c>
      <c r="M61" s="38">
        <f t="shared" si="13"/>
        <v>40807.536</v>
      </c>
      <c r="N61" s="38">
        <f t="shared" si="26"/>
        <v>463.722</v>
      </c>
      <c r="O61" s="38">
        <f t="shared" si="27"/>
        <v>463.722</v>
      </c>
      <c r="P61" s="38">
        <f>J61*0.015</f>
        <v>695.583</v>
      </c>
      <c r="Q61" s="40">
        <f>J61-M61-N61-P61</f>
        <v>4405.359</v>
      </c>
      <c r="R61" s="39"/>
      <c r="S61" s="39"/>
      <c r="T61" s="39" t="s">
        <v>294</v>
      </c>
      <c r="U61" s="59"/>
      <c r="V61" s="47"/>
      <c r="W61" s="47"/>
      <c r="X61" s="45" t="s">
        <v>2</v>
      </c>
      <c r="Y61" s="44"/>
      <c r="Z61" s="44"/>
      <c r="AA61" s="44"/>
      <c r="AB61" s="44"/>
      <c r="AC61" s="44"/>
      <c r="AD61" s="44"/>
      <c r="AE61" s="44"/>
      <c r="AF61" s="44"/>
      <c r="AG61" s="44"/>
      <c r="AH61" s="44"/>
      <c r="AI61" s="44"/>
      <c r="AJ61" s="44"/>
      <c r="AK61" s="44"/>
      <c r="AL61" s="44"/>
    </row>
    <row r="62">
      <c r="A62" s="34" t="b">
        <v>0</v>
      </c>
      <c r="B62" s="65">
        <v>45545.0</v>
      </c>
      <c r="C62" s="18" t="s">
        <v>219</v>
      </c>
      <c r="D62" s="66" t="s">
        <v>331</v>
      </c>
      <c r="E62" s="67" t="s">
        <v>332</v>
      </c>
      <c r="F62" s="68" t="s">
        <v>333</v>
      </c>
      <c r="G62" s="69">
        <v>530000.0</v>
      </c>
      <c r="H62" s="70" t="s">
        <v>334</v>
      </c>
      <c r="I62" s="70">
        <v>5.0</v>
      </c>
      <c r="J62" s="69">
        <f t="shared" si="7"/>
        <v>26500</v>
      </c>
      <c r="K62" s="38">
        <f t="shared" si="2"/>
        <v>1325</v>
      </c>
      <c r="L62" s="71">
        <v>83.0</v>
      </c>
      <c r="M62" s="69">
        <f t="shared" si="13"/>
        <v>21995</v>
      </c>
      <c r="N62" s="38">
        <f>J62*0.05</f>
        <v>1325</v>
      </c>
      <c r="O62" s="38"/>
      <c r="P62" s="38"/>
      <c r="Q62" s="72">
        <f t="shared" ref="Q62:Q65" si="28">J62-M62-N62</f>
        <v>3180</v>
      </c>
      <c r="R62" s="69"/>
      <c r="S62" s="69"/>
      <c r="T62" s="39" t="s">
        <v>294</v>
      </c>
      <c r="U62" s="39" t="s">
        <v>335</v>
      </c>
      <c r="V62" s="39" t="s">
        <v>155</v>
      </c>
      <c r="W62" s="39" t="s">
        <v>155</v>
      </c>
      <c r="X62" s="45" t="s">
        <v>333</v>
      </c>
      <c r="Y62" s="44"/>
      <c r="Z62" s="44"/>
      <c r="AA62" s="44"/>
      <c r="AB62" s="44"/>
      <c r="AC62" s="44"/>
      <c r="AD62" s="44"/>
      <c r="AE62" s="44"/>
      <c r="AF62" s="44"/>
      <c r="AG62" s="44"/>
      <c r="AH62" s="44"/>
      <c r="AI62" s="44"/>
      <c r="AJ62" s="44"/>
      <c r="AK62" s="44"/>
      <c r="AL62" s="44"/>
    </row>
    <row r="63">
      <c r="A63" s="34" t="b">
        <v>0</v>
      </c>
      <c r="B63" s="35">
        <v>45545.0</v>
      </c>
      <c r="C63" s="18" t="s">
        <v>150</v>
      </c>
      <c r="D63" s="37" t="s">
        <v>336</v>
      </c>
      <c r="E63" s="37" t="s">
        <v>237</v>
      </c>
      <c r="F63" s="37" t="s">
        <v>292</v>
      </c>
      <c r="G63" s="38">
        <v>620000.0</v>
      </c>
      <c r="H63" s="39" t="s">
        <v>337</v>
      </c>
      <c r="I63" s="39">
        <v>5.0</v>
      </c>
      <c r="J63" s="38">
        <f t="shared" si="7"/>
        <v>31000</v>
      </c>
      <c r="K63" s="38">
        <f t="shared" si="2"/>
        <v>1550</v>
      </c>
      <c r="L63" s="39">
        <v>88.0</v>
      </c>
      <c r="M63" s="38">
        <f t="shared" si="13"/>
        <v>27280</v>
      </c>
      <c r="N63" s="38">
        <f t="shared" ref="N63:N66" si="29">J63*0.01</f>
        <v>310</v>
      </c>
      <c r="O63" s="38">
        <f t="shared" ref="O63:O66" si="30">J63*0.01</f>
        <v>310</v>
      </c>
      <c r="P63" s="38"/>
      <c r="Q63" s="40">
        <f t="shared" si="28"/>
        <v>3410</v>
      </c>
      <c r="R63" s="39"/>
      <c r="S63" s="49">
        <v>45661.0</v>
      </c>
      <c r="T63" s="39" t="s">
        <v>338</v>
      </c>
      <c r="U63" s="59"/>
      <c r="V63" s="51"/>
      <c r="W63" s="51"/>
      <c r="X63" s="55" t="s">
        <v>2</v>
      </c>
      <c r="Y63" s="44"/>
      <c r="Z63" s="44"/>
      <c r="AA63" s="44"/>
      <c r="AB63" s="44"/>
      <c r="AC63" s="44"/>
      <c r="AD63" s="44"/>
      <c r="AE63" s="44"/>
      <c r="AF63" s="44"/>
      <c r="AG63" s="44"/>
      <c r="AH63" s="44"/>
      <c r="AI63" s="44"/>
      <c r="AJ63" s="44"/>
      <c r="AK63" s="44"/>
      <c r="AL63" s="44"/>
    </row>
    <row r="64">
      <c r="A64" s="34" t="b">
        <v>0</v>
      </c>
      <c r="B64" s="35">
        <v>45555.0</v>
      </c>
      <c r="C64" s="18" t="s">
        <v>150</v>
      </c>
      <c r="D64" s="37" t="s">
        <v>339</v>
      </c>
      <c r="E64" s="37" t="s">
        <v>237</v>
      </c>
      <c r="F64" s="37" t="s">
        <v>292</v>
      </c>
      <c r="G64" s="38">
        <v>665000.0</v>
      </c>
      <c r="H64" s="39" t="s">
        <v>340</v>
      </c>
      <c r="I64" s="39">
        <v>5.0</v>
      </c>
      <c r="J64" s="38">
        <f t="shared" si="7"/>
        <v>33250</v>
      </c>
      <c r="K64" s="38">
        <f t="shared" si="2"/>
        <v>1662.5</v>
      </c>
      <c r="L64" s="39">
        <v>88.0</v>
      </c>
      <c r="M64" s="38">
        <f t="shared" si="13"/>
        <v>29260</v>
      </c>
      <c r="N64" s="38">
        <f t="shared" si="29"/>
        <v>332.5</v>
      </c>
      <c r="O64" s="38">
        <f t="shared" si="30"/>
        <v>332.5</v>
      </c>
      <c r="P64" s="38"/>
      <c r="Q64" s="40">
        <f t="shared" si="28"/>
        <v>3657.5</v>
      </c>
      <c r="R64" s="39"/>
      <c r="S64" s="49">
        <v>45661.0</v>
      </c>
      <c r="T64" s="39" t="s">
        <v>338</v>
      </c>
      <c r="U64" s="59"/>
      <c r="V64" s="51"/>
      <c r="W64" s="51"/>
      <c r="X64" s="55" t="s">
        <v>2</v>
      </c>
      <c r="Y64" s="73"/>
      <c r="Z64" s="73"/>
      <c r="AA64" s="73"/>
      <c r="AB64" s="74"/>
      <c r="AC64" s="74"/>
      <c r="AD64" s="74"/>
      <c r="AE64" s="74"/>
      <c r="AF64" s="74"/>
      <c r="AG64" s="44"/>
      <c r="AH64" s="44"/>
      <c r="AI64" s="44"/>
      <c r="AJ64" s="44"/>
      <c r="AK64" s="44"/>
      <c r="AL64" s="44"/>
    </row>
    <row r="65">
      <c r="A65" s="34" t="b">
        <v>0</v>
      </c>
      <c r="B65" s="35">
        <v>45564.0</v>
      </c>
      <c r="C65" s="18" t="s">
        <v>150</v>
      </c>
      <c r="D65" s="37" t="s">
        <v>341</v>
      </c>
      <c r="E65" s="37" t="s">
        <v>342</v>
      </c>
      <c r="F65" s="37" t="s">
        <v>343</v>
      </c>
      <c r="G65" s="38">
        <v>1246181.0</v>
      </c>
      <c r="H65" s="39" t="s">
        <v>307</v>
      </c>
      <c r="I65" s="39">
        <v>5.0</v>
      </c>
      <c r="J65" s="38">
        <f t="shared" si="7"/>
        <v>62309.05</v>
      </c>
      <c r="K65" s="38">
        <f t="shared" si="2"/>
        <v>3115.4525</v>
      </c>
      <c r="L65" s="39">
        <v>88.0</v>
      </c>
      <c r="M65" s="38">
        <f t="shared" si="13"/>
        <v>54831.964</v>
      </c>
      <c r="N65" s="38">
        <f t="shared" si="29"/>
        <v>623.0905</v>
      </c>
      <c r="O65" s="38">
        <f t="shared" si="30"/>
        <v>623.0905</v>
      </c>
      <c r="P65" s="38"/>
      <c r="Q65" s="40">
        <f t="shared" si="28"/>
        <v>6853.9955</v>
      </c>
      <c r="R65" s="39"/>
      <c r="S65" s="35">
        <v>45636.0</v>
      </c>
      <c r="T65" s="39" t="s">
        <v>344</v>
      </c>
      <c r="U65" s="47"/>
      <c r="V65" s="47"/>
      <c r="W65" s="47"/>
      <c r="X65" s="45" t="s">
        <v>2</v>
      </c>
      <c r="Y65" s="53"/>
      <c r="Z65" s="53"/>
      <c r="AA65" s="53"/>
      <c r="AB65" s="53"/>
      <c r="AC65" s="53"/>
      <c r="AD65" s="53"/>
      <c r="AE65" s="53"/>
      <c r="AF65" s="53"/>
      <c r="AG65" s="53"/>
      <c r="AH65" s="53"/>
      <c r="AI65" s="53"/>
      <c r="AJ65" s="53"/>
      <c r="AK65" s="53"/>
      <c r="AL65" s="53"/>
    </row>
    <row r="66">
      <c r="A66" s="34" t="b">
        <v>0</v>
      </c>
      <c r="B66" s="35">
        <v>45564.0</v>
      </c>
      <c r="C66" s="18" t="s">
        <v>150</v>
      </c>
      <c r="D66" s="37" t="s">
        <v>345</v>
      </c>
      <c r="E66" s="37" t="s">
        <v>346</v>
      </c>
      <c r="F66" s="37" t="s">
        <v>343</v>
      </c>
      <c r="G66" s="38">
        <v>1317773.0</v>
      </c>
      <c r="H66" s="39" t="s">
        <v>307</v>
      </c>
      <c r="I66" s="39">
        <v>5.0</v>
      </c>
      <c r="J66" s="38">
        <f t="shared" si="7"/>
        <v>65888.65</v>
      </c>
      <c r="K66" s="38">
        <f t="shared" si="2"/>
        <v>3294.4325</v>
      </c>
      <c r="L66" s="39">
        <v>88.0</v>
      </c>
      <c r="M66" s="38">
        <f t="shared" si="13"/>
        <v>57982.012</v>
      </c>
      <c r="N66" s="38">
        <f t="shared" si="29"/>
        <v>658.8865</v>
      </c>
      <c r="O66" s="38">
        <f t="shared" si="30"/>
        <v>658.8865</v>
      </c>
      <c r="P66" s="38">
        <f>J66*0.015</f>
        <v>988.32975</v>
      </c>
      <c r="Q66" s="40">
        <f>J66-M66-N66-P66</f>
        <v>6259.42175</v>
      </c>
      <c r="R66" s="39"/>
      <c r="S66" s="35">
        <v>45611.0</v>
      </c>
      <c r="T66" s="39" t="s">
        <v>347</v>
      </c>
      <c r="U66" s="47"/>
      <c r="V66" s="39" t="s">
        <v>155</v>
      </c>
      <c r="W66" s="47"/>
      <c r="X66" s="45" t="s">
        <v>2</v>
      </c>
      <c r="Y66" s="44"/>
      <c r="Z66" s="44"/>
      <c r="AA66" s="44"/>
      <c r="AB66" s="44"/>
      <c r="AC66" s="44"/>
      <c r="AD66" s="44"/>
      <c r="AE66" s="44"/>
      <c r="AF66" s="44"/>
      <c r="AG66" s="44"/>
      <c r="AH66" s="44"/>
      <c r="AI66" s="44"/>
      <c r="AJ66" s="44"/>
      <c r="AK66" s="44"/>
      <c r="AL66" s="44"/>
    </row>
    <row r="67">
      <c r="A67" s="34" t="b">
        <v>0</v>
      </c>
      <c r="B67" s="35">
        <v>45566.0</v>
      </c>
      <c r="C67" s="18" t="s">
        <v>150</v>
      </c>
      <c r="D67" s="37" t="s">
        <v>348</v>
      </c>
      <c r="E67" s="60" t="s">
        <v>200</v>
      </c>
      <c r="F67" s="75" t="s">
        <v>349</v>
      </c>
      <c r="G67" s="38">
        <v>1119734.0</v>
      </c>
      <c r="H67" s="39" t="s">
        <v>215</v>
      </c>
      <c r="I67" s="39">
        <v>6.0</v>
      </c>
      <c r="J67" s="38">
        <f t="shared" si="7"/>
        <v>67184.04</v>
      </c>
      <c r="K67" s="38">
        <f t="shared" si="2"/>
        <v>3359.202</v>
      </c>
      <c r="L67" s="39">
        <v>80.0</v>
      </c>
      <c r="M67" s="38">
        <f t="shared" si="13"/>
        <v>53747.232</v>
      </c>
      <c r="N67" s="38">
        <f>J67*0.105</f>
        <v>7054.3242</v>
      </c>
      <c r="O67" s="38"/>
      <c r="P67" s="38"/>
      <c r="Q67" s="40">
        <f t="shared" ref="Q67:Q76" si="31">J67-M67-N67</f>
        <v>6382.4838</v>
      </c>
      <c r="R67" s="39"/>
      <c r="S67" s="49">
        <v>45706.0</v>
      </c>
      <c r="T67" s="39" t="s">
        <v>350</v>
      </c>
      <c r="U67" s="47"/>
      <c r="V67" s="47"/>
      <c r="W67" s="47"/>
      <c r="X67" s="45" t="s">
        <v>315</v>
      </c>
      <c r="Y67" s="44"/>
      <c r="Z67" s="44"/>
      <c r="AA67" s="44"/>
      <c r="AB67" s="44"/>
      <c r="AC67" s="44"/>
      <c r="AD67" s="44"/>
      <c r="AE67" s="44"/>
      <c r="AF67" s="44"/>
      <c r="AG67" s="44"/>
      <c r="AH67" s="44"/>
      <c r="AI67" s="44"/>
      <c r="AJ67" s="44"/>
      <c r="AK67" s="44"/>
      <c r="AL67" s="44"/>
    </row>
    <row r="68">
      <c r="A68" s="34" t="b">
        <v>0</v>
      </c>
      <c r="B68" s="35">
        <v>45570.0</v>
      </c>
      <c r="C68" s="39" t="s">
        <v>150</v>
      </c>
      <c r="D68" s="37" t="s">
        <v>351</v>
      </c>
      <c r="E68" s="60" t="s">
        <v>201</v>
      </c>
      <c r="F68" s="75"/>
      <c r="G68" s="38">
        <v>655614.0</v>
      </c>
      <c r="H68" s="39" t="s">
        <v>284</v>
      </c>
      <c r="I68" s="39">
        <v>3.0</v>
      </c>
      <c r="J68" s="38">
        <f t="shared" si="7"/>
        <v>19668.42</v>
      </c>
      <c r="K68" s="38">
        <f t="shared" si="2"/>
        <v>983.421</v>
      </c>
      <c r="L68" s="39">
        <v>88.0</v>
      </c>
      <c r="M68" s="38">
        <f t="shared" si="13"/>
        <v>17308.2096</v>
      </c>
      <c r="N68" s="38"/>
      <c r="O68" s="38"/>
      <c r="P68" s="38"/>
      <c r="Q68" s="40">
        <f t="shared" si="31"/>
        <v>2360.2104</v>
      </c>
      <c r="R68" s="39"/>
      <c r="S68" s="49">
        <v>45720.0</v>
      </c>
      <c r="T68" s="39" t="s">
        <v>352</v>
      </c>
      <c r="U68" s="39" t="s">
        <v>353</v>
      </c>
      <c r="V68" s="47"/>
      <c r="W68" s="47"/>
      <c r="X68" s="45"/>
      <c r="Y68" s="44"/>
      <c r="Z68" s="44"/>
      <c r="AA68" s="44"/>
      <c r="AB68" s="44"/>
      <c r="AC68" s="44"/>
      <c r="AD68" s="44"/>
      <c r="AE68" s="44"/>
      <c r="AF68" s="44"/>
      <c r="AG68" s="44"/>
      <c r="AH68" s="44"/>
      <c r="AI68" s="44"/>
      <c r="AJ68" s="44"/>
      <c r="AK68" s="44"/>
      <c r="AL68" s="44"/>
    </row>
    <row r="69">
      <c r="A69" s="34" t="b">
        <v>0</v>
      </c>
      <c r="B69" s="46">
        <v>45579.0</v>
      </c>
      <c r="C69" s="18" t="s">
        <v>219</v>
      </c>
      <c r="D69" s="37" t="s">
        <v>354</v>
      </c>
      <c r="E69" s="37" t="s">
        <v>355</v>
      </c>
      <c r="F69" s="37" t="s">
        <v>356</v>
      </c>
      <c r="G69" s="38">
        <v>1150163.0</v>
      </c>
      <c r="H69" s="39" t="s">
        <v>357</v>
      </c>
      <c r="I69" s="39">
        <v>5.0</v>
      </c>
      <c r="J69" s="38">
        <f t="shared" si="7"/>
        <v>57508.15</v>
      </c>
      <c r="K69" s="38">
        <f t="shared" si="2"/>
        <v>2875.4075</v>
      </c>
      <c r="L69" s="39">
        <v>83.0</v>
      </c>
      <c r="M69" s="38">
        <f t="shared" si="13"/>
        <v>47731.7645</v>
      </c>
      <c r="N69" s="38">
        <f>J69*0.05</f>
        <v>2875.4075</v>
      </c>
      <c r="O69" s="38"/>
      <c r="P69" s="38"/>
      <c r="Q69" s="40">
        <f t="shared" si="31"/>
        <v>6900.978</v>
      </c>
      <c r="R69" s="39"/>
      <c r="S69" s="49">
        <v>45687.0</v>
      </c>
      <c r="T69" s="39" t="s">
        <v>358</v>
      </c>
      <c r="U69" s="39" t="s">
        <v>335</v>
      </c>
      <c r="V69" s="39" t="s">
        <v>155</v>
      </c>
      <c r="W69" s="39" t="s">
        <v>155</v>
      </c>
      <c r="X69" s="45" t="s">
        <v>356</v>
      </c>
    </row>
    <row r="70">
      <c r="A70" s="34" t="b">
        <v>0</v>
      </c>
      <c r="B70" s="35">
        <v>45579.0</v>
      </c>
      <c r="C70" s="18" t="s">
        <v>150</v>
      </c>
      <c r="D70" s="37" t="s">
        <v>359</v>
      </c>
      <c r="E70" s="37" t="s">
        <v>360</v>
      </c>
      <c r="F70" s="37" t="s">
        <v>44</v>
      </c>
      <c r="G70" s="38">
        <v>1363070.0</v>
      </c>
      <c r="H70" s="39" t="s">
        <v>361</v>
      </c>
      <c r="I70" s="39">
        <v>6.0</v>
      </c>
      <c r="J70" s="38">
        <f t="shared" si="7"/>
        <v>81784.2</v>
      </c>
      <c r="K70" s="38">
        <f t="shared" si="2"/>
        <v>4089.21</v>
      </c>
      <c r="L70" s="39">
        <v>88.0</v>
      </c>
      <c r="M70" s="38">
        <f t="shared" si="13"/>
        <v>71970.096</v>
      </c>
      <c r="N70" s="38">
        <f t="shared" ref="N70:N71" si="32">J70*0.01</f>
        <v>817.842</v>
      </c>
      <c r="O70" s="38"/>
      <c r="P70" s="38"/>
      <c r="Q70" s="40">
        <f t="shared" si="31"/>
        <v>8996.262</v>
      </c>
      <c r="R70" s="39"/>
      <c r="S70" s="49">
        <v>45633.0</v>
      </c>
      <c r="T70" s="39" t="s">
        <v>362</v>
      </c>
      <c r="U70" s="47"/>
      <c r="V70" s="39" t="s">
        <v>363</v>
      </c>
      <c r="W70" s="47"/>
      <c r="X70" s="45" t="s">
        <v>2</v>
      </c>
      <c r="Y70" s="44"/>
      <c r="Z70" s="44"/>
      <c r="AA70" s="44"/>
      <c r="AB70" s="44"/>
      <c r="AC70" s="44"/>
      <c r="AD70" s="44"/>
      <c r="AE70" s="44"/>
      <c r="AF70" s="44"/>
      <c r="AG70" s="44"/>
      <c r="AH70" s="44"/>
      <c r="AI70" s="44"/>
      <c r="AJ70" s="44"/>
      <c r="AK70" s="44"/>
      <c r="AL70" s="44"/>
    </row>
    <row r="71">
      <c r="A71" s="34" t="b">
        <v>0</v>
      </c>
      <c r="B71" s="46">
        <v>45579.0</v>
      </c>
      <c r="C71" s="18" t="s">
        <v>150</v>
      </c>
      <c r="D71" s="37" t="s">
        <v>364</v>
      </c>
      <c r="E71" s="37" t="s">
        <v>360</v>
      </c>
      <c r="F71" s="37" t="s">
        <v>44</v>
      </c>
      <c r="G71" s="38">
        <v>1982000.0</v>
      </c>
      <c r="H71" s="39" t="s">
        <v>365</v>
      </c>
      <c r="I71" s="39">
        <v>5.0</v>
      </c>
      <c r="J71" s="38">
        <f t="shared" si="7"/>
        <v>99100</v>
      </c>
      <c r="K71" s="38">
        <f t="shared" si="2"/>
        <v>4955</v>
      </c>
      <c r="L71" s="39">
        <v>88.0</v>
      </c>
      <c r="M71" s="38">
        <f t="shared" si="13"/>
        <v>87208</v>
      </c>
      <c r="N71" s="38">
        <f t="shared" si="32"/>
        <v>991</v>
      </c>
      <c r="O71" s="38"/>
      <c r="P71" s="38"/>
      <c r="Q71" s="40">
        <f t="shared" si="31"/>
        <v>10901</v>
      </c>
      <c r="R71" s="39"/>
      <c r="S71" s="49">
        <v>45667.0</v>
      </c>
      <c r="T71" s="39" t="s">
        <v>366</v>
      </c>
      <c r="U71" s="47"/>
      <c r="V71" s="47"/>
      <c r="W71" s="47"/>
      <c r="X71" s="45" t="s">
        <v>2</v>
      </c>
      <c r="Y71" s="44"/>
      <c r="Z71" s="44"/>
      <c r="AA71" s="44"/>
      <c r="AB71" s="44"/>
      <c r="AC71" s="44"/>
      <c r="AD71" s="44"/>
      <c r="AE71" s="44"/>
      <c r="AF71" s="44"/>
      <c r="AG71" s="44"/>
      <c r="AH71" s="44"/>
      <c r="AI71" s="44"/>
      <c r="AJ71" s="44"/>
      <c r="AK71" s="44"/>
      <c r="AL71" s="44"/>
    </row>
    <row r="72">
      <c r="A72" s="34" t="b">
        <v>0</v>
      </c>
      <c r="B72" s="46">
        <v>45583.0</v>
      </c>
      <c r="C72" s="18" t="s">
        <v>150</v>
      </c>
      <c r="D72" s="37" t="s">
        <v>367</v>
      </c>
      <c r="E72" s="37" t="s">
        <v>200</v>
      </c>
      <c r="F72" s="75" t="s">
        <v>368</v>
      </c>
      <c r="G72" s="38">
        <v>697000.0</v>
      </c>
      <c r="H72" s="39" t="s">
        <v>227</v>
      </c>
      <c r="I72" s="39">
        <v>5.0</v>
      </c>
      <c r="J72" s="38">
        <f t="shared" si="7"/>
        <v>34850</v>
      </c>
      <c r="K72" s="38">
        <f t="shared" si="2"/>
        <v>1742.5</v>
      </c>
      <c r="L72" s="39">
        <v>70.0</v>
      </c>
      <c r="M72" s="38">
        <f t="shared" si="13"/>
        <v>24395</v>
      </c>
      <c r="N72" s="38">
        <f>J72*0.19</f>
        <v>6621.5</v>
      </c>
      <c r="O72" s="38"/>
      <c r="P72" s="38"/>
      <c r="Q72" s="40">
        <f t="shared" si="31"/>
        <v>3833.5</v>
      </c>
      <c r="R72" s="39"/>
      <c r="S72" s="35">
        <v>45650.0</v>
      </c>
      <c r="T72" s="39" t="s">
        <v>369</v>
      </c>
      <c r="U72" s="51"/>
      <c r="V72" s="51"/>
      <c r="W72" s="51"/>
      <c r="X72" s="55" t="s">
        <v>315</v>
      </c>
      <c r="Y72" s="44"/>
      <c r="Z72" s="44"/>
      <c r="AA72" s="44"/>
      <c r="AB72" s="44"/>
      <c r="AC72" s="44"/>
      <c r="AD72" s="44"/>
      <c r="AE72" s="44"/>
      <c r="AF72" s="44"/>
      <c r="AG72" s="44"/>
      <c r="AH72" s="44"/>
      <c r="AI72" s="44"/>
      <c r="AJ72" s="44"/>
      <c r="AK72" s="44"/>
      <c r="AL72" s="44"/>
    </row>
    <row r="73">
      <c r="A73" s="34" t="b">
        <v>0</v>
      </c>
      <c r="B73" s="46">
        <v>45586.0</v>
      </c>
      <c r="C73" s="39" t="s">
        <v>219</v>
      </c>
      <c r="D73" s="37" t="s">
        <v>370</v>
      </c>
      <c r="E73" s="37" t="s">
        <v>371</v>
      </c>
      <c r="F73" s="37" t="s">
        <v>222</v>
      </c>
      <c r="G73" s="38">
        <v>660501.0</v>
      </c>
      <c r="H73" s="39" t="s">
        <v>372</v>
      </c>
      <c r="I73" s="39">
        <v>5.0</v>
      </c>
      <c r="J73" s="38">
        <f t="shared" si="7"/>
        <v>33025.05</v>
      </c>
      <c r="K73" s="38">
        <f t="shared" si="2"/>
        <v>1651.2525</v>
      </c>
      <c r="L73" s="39">
        <v>50.0</v>
      </c>
      <c r="M73" s="38">
        <f t="shared" si="13"/>
        <v>16512.525</v>
      </c>
      <c r="N73" s="38"/>
      <c r="O73" s="38"/>
      <c r="P73" s="38"/>
      <c r="Q73" s="40">
        <f t="shared" si="31"/>
        <v>16512.525</v>
      </c>
      <c r="R73" s="49">
        <v>45741.0</v>
      </c>
      <c r="S73" s="49">
        <v>45771.0</v>
      </c>
      <c r="T73" s="39" t="s">
        <v>373</v>
      </c>
      <c r="U73" s="39" t="s">
        <v>374</v>
      </c>
      <c r="V73" s="47"/>
      <c r="W73" s="47"/>
      <c r="X73" s="45" t="s">
        <v>375</v>
      </c>
      <c r="Y73" s="44"/>
      <c r="Z73" s="53"/>
      <c r="AA73" s="53"/>
      <c r="AB73" s="53"/>
      <c r="AC73" s="53"/>
      <c r="AD73" s="53"/>
      <c r="AE73" s="53"/>
      <c r="AF73" s="53"/>
      <c r="AG73" s="53"/>
      <c r="AH73" s="53"/>
      <c r="AI73" s="53"/>
      <c r="AJ73" s="53"/>
      <c r="AK73" s="53"/>
      <c r="AL73" s="53"/>
    </row>
    <row r="74">
      <c r="A74" s="34" t="b">
        <v>0</v>
      </c>
      <c r="B74" s="46">
        <v>45586.0</v>
      </c>
      <c r="C74" s="18" t="s">
        <v>150</v>
      </c>
      <c r="D74" s="37" t="s">
        <v>376</v>
      </c>
      <c r="E74" s="37" t="s">
        <v>342</v>
      </c>
      <c r="F74" s="37" t="s">
        <v>343</v>
      </c>
      <c r="G74" s="38">
        <v>2449524.0</v>
      </c>
      <c r="H74" s="39" t="s">
        <v>185</v>
      </c>
      <c r="I74" s="39">
        <v>5.0</v>
      </c>
      <c r="J74" s="38">
        <f t="shared" si="7"/>
        <v>122476.2</v>
      </c>
      <c r="K74" s="38">
        <f t="shared" si="2"/>
        <v>6123.81</v>
      </c>
      <c r="L74" s="39">
        <v>88.0</v>
      </c>
      <c r="M74" s="38">
        <f t="shared" si="13"/>
        <v>107779.056</v>
      </c>
      <c r="N74" s="38">
        <f>J74*0.01</f>
        <v>1224.762</v>
      </c>
      <c r="O74" s="38">
        <f>J74*0.01</f>
        <v>1224.762</v>
      </c>
      <c r="P74" s="38">
        <f>J74*0.015</f>
        <v>1837.143</v>
      </c>
      <c r="Q74" s="40">
        <f t="shared" si="31"/>
        <v>13472.382</v>
      </c>
      <c r="R74" s="39"/>
      <c r="S74" s="35">
        <v>45616.0</v>
      </c>
      <c r="T74" s="39" t="s">
        <v>377</v>
      </c>
      <c r="U74" s="39"/>
      <c r="V74" s="39" t="s">
        <v>378</v>
      </c>
      <c r="W74" s="47"/>
      <c r="X74" s="45" t="s">
        <v>295</v>
      </c>
      <c r="Y74" s="53"/>
      <c r="Z74" s="44"/>
      <c r="AA74" s="44"/>
      <c r="AB74" s="44"/>
      <c r="AC74" s="44"/>
      <c r="AD74" s="44"/>
      <c r="AE74" s="44"/>
      <c r="AF74" s="44"/>
      <c r="AG74" s="44"/>
      <c r="AH74" s="44"/>
      <c r="AI74" s="44"/>
      <c r="AJ74" s="44"/>
      <c r="AK74" s="44"/>
      <c r="AL74" s="44"/>
    </row>
    <row r="75">
      <c r="A75" s="34" t="b">
        <v>0</v>
      </c>
      <c r="B75" s="76">
        <v>45595.0</v>
      </c>
      <c r="C75" s="39" t="s">
        <v>150</v>
      </c>
      <c r="D75" s="56" t="s">
        <v>379</v>
      </c>
      <c r="E75" s="76" t="s">
        <v>380</v>
      </c>
      <c r="F75" s="76" t="s">
        <v>375</v>
      </c>
      <c r="G75" s="38">
        <v>745734.0</v>
      </c>
      <c r="H75" s="76" t="s">
        <v>279</v>
      </c>
      <c r="I75" s="39">
        <v>6.0</v>
      </c>
      <c r="J75" s="38">
        <f t="shared" si="7"/>
        <v>44744.04</v>
      </c>
      <c r="K75" s="38">
        <f t="shared" si="2"/>
        <v>2237.202</v>
      </c>
      <c r="L75" s="39">
        <v>88.0</v>
      </c>
      <c r="M75" s="38">
        <f t="shared" si="13"/>
        <v>39374.7552</v>
      </c>
      <c r="N75" s="69">
        <f t="shared" ref="N75:N76" si="33">J75*0.022</f>
        <v>984.36888</v>
      </c>
      <c r="O75" s="69"/>
      <c r="P75" s="69"/>
      <c r="Q75" s="72">
        <f t="shared" si="31"/>
        <v>4384.91592</v>
      </c>
      <c r="R75" s="77">
        <v>45784.0</v>
      </c>
      <c r="S75" s="78">
        <v>45952.0</v>
      </c>
      <c r="T75" s="39"/>
      <c r="U75" s="47"/>
      <c r="V75" s="47"/>
      <c r="W75" s="47"/>
      <c r="X75" s="37"/>
      <c r="Y75" s="44"/>
      <c r="Z75" s="44"/>
      <c r="AA75" s="44"/>
      <c r="AB75" s="44"/>
      <c r="AC75" s="44"/>
      <c r="AD75" s="44"/>
      <c r="AE75" s="44"/>
      <c r="AF75" s="44"/>
      <c r="AG75" s="44"/>
      <c r="AH75" s="44"/>
      <c r="AI75" s="44"/>
      <c r="AJ75" s="44"/>
      <c r="AK75" s="44"/>
      <c r="AL75" s="44"/>
    </row>
    <row r="76">
      <c r="A76" s="34" t="b">
        <v>0</v>
      </c>
      <c r="B76" s="76">
        <v>45595.0</v>
      </c>
      <c r="C76" s="39" t="s">
        <v>150</v>
      </c>
      <c r="D76" s="56" t="s">
        <v>379</v>
      </c>
      <c r="E76" s="76" t="s">
        <v>380</v>
      </c>
      <c r="F76" s="76" t="s">
        <v>375</v>
      </c>
      <c r="G76" s="38">
        <v>1342315.0</v>
      </c>
      <c r="H76" s="76" t="s">
        <v>279</v>
      </c>
      <c r="I76" s="39">
        <v>6.0</v>
      </c>
      <c r="J76" s="38">
        <f t="shared" si="7"/>
        <v>80538.9</v>
      </c>
      <c r="K76" s="38">
        <f t="shared" si="2"/>
        <v>4026.945</v>
      </c>
      <c r="L76" s="39">
        <v>88.0</v>
      </c>
      <c r="M76" s="38">
        <f t="shared" si="13"/>
        <v>70874.232</v>
      </c>
      <c r="N76" s="69">
        <f t="shared" si="33"/>
        <v>1771.8558</v>
      </c>
      <c r="O76" s="69"/>
      <c r="P76" s="69"/>
      <c r="Q76" s="72">
        <f t="shared" si="31"/>
        <v>7892.8122</v>
      </c>
      <c r="R76" s="77">
        <v>45783.0</v>
      </c>
      <c r="S76" s="77">
        <v>45812.0</v>
      </c>
      <c r="T76" s="39"/>
      <c r="U76" s="47"/>
      <c r="V76" s="47"/>
      <c r="W76" s="47"/>
      <c r="X76" s="37" t="s">
        <v>371</v>
      </c>
      <c r="Y76" s="44"/>
      <c r="Z76" s="44"/>
      <c r="AA76" s="44"/>
      <c r="AB76" s="44"/>
      <c r="AC76" s="44"/>
      <c r="AD76" s="44"/>
      <c r="AE76" s="44"/>
      <c r="AF76" s="44"/>
      <c r="AG76" s="44"/>
      <c r="AH76" s="44"/>
      <c r="AI76" s="44"/>
      <c r="AJ76" s="44"/>
      <c r="AK76" s="44"/>
      <c r="AL76" s="44"/>
    </row>
    <row r="77">
      <c r="A77" s="34" t="b">
        <v>0</v>
      </c>
      <c r="B77" s="46">
        <v>45597.0</v>
      </c>
      <c r="C77" s="18" t="s">
        <v>150</v>
      </c>
      <c r="D77" s="37" t="s">
        <v>381</v>
      </c>
      <c r="E77" s="37" t="s">
        <v>329</v>
      </c>
      <c r="F77" s="37" t="s">
        <v>330</v>
      </c>
      <c r="G77" s="38">
        <v>629630.31</v>
      </c>
      <c r="H77" s="39" t="s">
        <v>238</v>
      </c>
      <c r="I77" s="39">
        <v>5.0</v>
      </c>
      <c r="J77" s="38">
        <f t="shared" si="7"/>
        <v>31481.5155</v>
      </c>
      <c r="K77" s="38">
        <f t="shared" si="2"/>
        <v>1574.075775</v>
      </c>
      <c r="L77" s="39">
        <v>88.0</v>
      </c>
      <c r="M77" s="38">
        <f t="shared" si="13"/>
        <v>27703.73364</v>
      </c>
      <c r="N77" s="38">
        <f>J77*0.01</f>
        <v>314.815155</v>
      </c>
      <c r="O77" s="38">
        <f>J77*0.01</f>
        <v>314.815155</v>
      </c>
      <c r="P77" s="38">
        <f>J77*0.015</f>
        <v>472.2227325</v>
      </c>
      <c r="Q77" s="40">
        <f>J77-M77-N77-P77</f>
        <v>2990.743973</v>
      </c>
      <c r="R77" s="39"/>
      <c r="S77" s="39"/>
      <c r="T77" s="39" t="s">
        <v>382</v>
      </c>
      <c r="U77" s="47"/>
      <c r="V77" s="47"/>
      <c r="W77" s="47"/>
      <c r="X77" s="45" t="s">
        <v>315</v>
      </c>
      <c r="Y77" s="44"/>
      <c r="Z77" s="44"/>
      <c r="AA77" s="44"/>
      <c r="AB77" s="44"/>
      <c r="AC77" s="44"/>
      <c r="AD77" s="44"/>
      <c r="AE77" s="44"/>
      <c r="AF77" s="44"/>
      <c r="AG77" s="44"/>
      <c r="AH77" s="44"/>
      <c r="AI77" s="44"/>
      <c r="AJ77" s="44"/>
      <c r="AK77" s="44"/>
      <c r="AL77" s="44"/>
    </row>
    <row r="78">
      <c r="A78" s="34" t="b">
        <v>0</v>
      </c>
      <c r="B78" s="46">
        <v>45597.0</v>
      </c>
      <c r="C78" s="18" t="s">
        <v>150</v>
      </c>
      <c r="D78" s="37" t="s">
        <v>383</v>
      </c>
      <c r="E78" s="37" t="s">
        <v>200</v>
      </c>
      <c r="F78" s="75" t="s">
        <v>312</v>
      </c>
      <c r="G78" s="38">
        <v>975009.0</v>
      </c>
      <c r="H78" s="39" t="s">
        <v>384</v>
      </c>
      <c r="I78" s="39">
        <v>5.0</v>
      </c>
      <c r="J78" s="38">
        <f t="shared" si="7"/>
        <v>48750.45</v>
      </c>
      <c r="K78" s="38">
        <f t="shared" si="2"/>
        <v>2437.5225</v>
      </c>
      <c r="L78" s="39">
        <v>80.0</v>
      </c>
      <c r="M78" s="38">
        <f t="shared" si="13"/>
        <v>39000.36</v>
      </c>
      <c r="N78" s="38">
        <f>J78*0.09</f>
        <v>4387.5405</v>
      </c>
      <c r="O78" s="38"/>
      <c r="P78" s="38"/>
      <c r="Q78" s="40">
        <f t="shared" ref="Q78:Q89" si="34">J78-M78-N78</f>
        <v>5362.5495</v>
      </c>
      <c r="R78" s="39"/>
      <c r="S78" s="49">
        <v>45631.0</v>
      </c>
      <c r="T78" s="39" t="s">
        <v>385</v>
      </c>
      <c r="U78" s="39" t="s">
        <v>386</v>
      </c>
      <c r="V78" s="47"/>
      <c r="W78" s="47"/>
      <c r="X78" s="45" t="s">
        <v>44</v>
      </c>
      <c r="Y78" s="53"/>
      <c r="Z78" s="53"/>
      <c r="AA78" s="53"/>
      <c r="AB78" s="53"/>
      <c r="AC78" s="53"/>
      <c r="AD78" s="53"/>
      <c r="AE78" s="53"/>
      <c r="AF78" s="53"/>
      <c r="AG78" s="53"/>
      <c r="AH78" s="53"/>
      <c r="AI78" s="53"/>
      <c r="AJ78" s="53"/>
      <c r="AK78" s="53"/>
      <c r="AL78" s="53"/>
    </row>
    <row r="79">
      <c r="A79" s="34" t="b">
        <v>0</v>
      </c>
      <c r="B79" s="46">
        <v>45600.0</v>
      </c>
      <c r="C79" s="18" t="s">
        <v>150</v>
      </c>
      <c r="D79" s="37" t="s">
        <v>387</v>
      </c>
      <c r="E79" s="37" t="s">
        <v>200</v>
      </c>
      <c r="F79" s="37" t="s">
        <v>388</v>
      </c>
      <c r="G79" s="38">
        <v>1428211.32</v>
      </c>
      <c r="H79" s="39" t="s">
        <v>242</v>
      </c>
      <c r="I79" s="39">
        <v>3.0</v>
      </c>
      <c r="J79" s="38">
        <f t="shared" si="7"/>
        <v>42846.3396</v>
      </c>
      <c r="K79" s="38">
        <f t="shared" si="2"/>
        <v>2142.31698</v>
      </c>
      <c r="L79" s="39">
        <v>80.0</v>
      </c>
      <c r="M79" s="38">
        <f t="shared" si="13"/>
        <v>34277.07168</v>
      </c>
      <c r="N79" s="38">
        <f t="shared" ref="N79:N81" si="35">J79*0.01</f>
        <v>428.463396</v>
      </c>
      <c r="O79" s="38"/>
      <c r="P79" s="38">
        <f>J79*0.005</f>
        <v>214.231698</v>
      </c>
      <c r="Q79" s="40">
        <f t="shared" si="34"/>
        <v>8140.804524</v>
      </c>
      <c r="R79" s="39"/>
      <c r="S79" s="35">
        <v>45615.0</v>
      </c>
      <c r="T79" s="39" t="s">
        <v>389</v>
      </c>
      <c r="U79" s="51"/>
      <c r="V79" s="51"/>
      <c r="W79" s="51"/>
      <c r="X79" s="55" t="s">
        <v>44</v>
      </c>
      <c r="Y79" s="44"/>
      <c r="Z79" s="44"/>
      <c r="AA79" s="44"/>
      <c r="AB79" s="44"/>
      <c r="AC79" s="44"/>
      <c r="AD79" s="44"/>
      <c r="AE79" s="44"/>
      <c r="AF79" s="44"/>
      <c r="AG79" s="44"/>
      <c r="AH79" s="44"/>
      <c r="AI79" s="44"/>
      <c r="AJ79" s="44"/>
      <c r="AK79" s="44"/>
      <c r="AL79" s="44"/>
    </row>
    <row r="80">
      <c r="A80" s="34" t="b">
        <v>0</v>
      </c>
      <c r="B80" s="46">
        <v>45600.0</v>
      </c>
      <c r="C80" s="39" t="s">
        <v>150</v>
      </c>
      <c r="D80" s="37" t="s">
        <v>390</v>
      </c>
      <c r="E80" s="37" t="s">
        <v>200</v>
      </c>
      <c r="F80" s="37" t="s">
        <v>391</v>
      </c>
      <c r="G80" s="38">
        <v>1370427.0</v>
      </c>
      <c r="H80" s="39" t="s">
        <v>242</v>
      </c>
      <c r="I80" s="39">
        <v>3.0</v>
      </c>
      <c r="J80" s="38">
        <f t="shared" si="7"/>
        <v>41112.81</v>
      </c>
      <c r="K80" s="38">
        <f t="shared" si="2"/>
        <v>2055.6405</v>
      </c>
      <c r="L80" s="39">
        <v>80.0</v>
      </c>
      <c r="M80" s="38">
        <f t="shared" si="13"/>
        <v>32890.248</v>
      </c>
      <c r="N80" s="38">
        <f t="shared" si="35"/>
        <v>411.1281</v>
      </c>
      <c r="O80" s="38"/>
      <c r="P80" s="38"/>
      <c r="Q80" s="40">
        <f t="shared" si="34"/>
        <v>7811.4339</v>
      </c>
      <c r="R80" s="39"/>
      <c r="S80" s="35">
        <v>45619.0</v>
      </c>
      <c r="T80" s="57" t="s">
        <v>392</v>
      </c>
      <c r="U80" s="47"/>
      <c r="V80" s="39" t="s">
        <v>155</v>
      </c>
      <c r="W80" s="47"/>
      <c r="X80" s="45" t="s">
        <v>44</v>
      </c>
      <c r="Y80" s="44"/>
      <c r="Z80" s="44"/>
      <c r="AA80" s="44"/>
      <c r="AB80" s="44"/>
      <c r="AC80" s="44"/>
      <c r="AD80" s="44"/>
      <c r="AE80" s="44"/>
      <c r="AF80" s="44"/>
      <c r="AG80" s="44"/>
      <c r="AH80" s="44"/>
      <c r="AI80" s="44"/>
      <c r="AJ80" s="44"/>
      <c r="AK80" s="44"/>
      <c r="AL80" s="44"/>
    </row>
    <row r="81">
      <c r="A81" s="34" t="b">
        <v>0</v>
      </c>
      <c r="B81" s="46">
        <v>45604.0</v>
      </c>
      <c r="C81" s="39" t="s">
        <v>150</v>
      </c>
      <c r="D81" s="56" t="s">
        <v>393</v>
      </c>
      <c r="E81" s="37" t="s">
        <v>237</v>
      </c>
      <c r="F81" s="37" t="s">
        <v>394</v>
      </c>
      <c r="G81" s="38">
        <v>1472052.0</v>
      </c>
      <c r="H81" s="39" t="s">
        <v>171</v>
      </c>
      <c r="I81" s="39">
        <v>5.0</v>
      </c>
      <c r="J81" s="38">
        <f t="shared" si="7"/>
        <v>73602.6</v>
      </c>
      <c r="K81" s="38">
        <f t="shared" si="2"/>
        <v>3680.13</v>
      </c>
      <c r="L81" s="39">
        <v>88.0</v>
      </c>
      <c r="M81" s="38">
        <f t="shared" si="13"/>
        <v>64770.288</v>
      </c>
      <c r="N81" s="38">
        <f t="shared" si="35"/>
        <v>736.026</v>
      </c>
      <c r="O81" s="38">
        <f>J81*0.01</f>
        <v>736.026</v>
      </c>
      <c r="P81" s="38"/>
      <c r="Q81" s="40">
        <f t="shared" si="34"/>
        <v>8096.286</v>
      </c>
      <c r="R81" s="61"/>
      <c r="S81" s="79">
        <v>45717.0</v>
      </c>
      <c r="T81" s="61" t="s">
        <v>395</v>
      </c>
      <c r="U81" s="39"/>
      <c r="V81" s="39" t="s">
        <v>396</v>
      </c>
      <c r="W81" s="47"/>
      <c r="X81" s="45" t="s">
        <v>295</v>
      </c>
      <c r="Y81" s="44"/>
      <c r="Z81" s="44"/>
      <c r="AA81" s="44"/>
      <c r="AB81" s="44"/>
      <c r="AC81" s="44"/>
      <c r="AD81" s="44"/>
      <c r="AE81" s="44"/>
      <c r="AF81" s="44"/>
      <c r="AG81" s="44"/>
      <c r="AH81" s="44"/>
      <c r="AI81" s="44"/>
      <c r="AJ81" s="44"/>
      <c r="AK81" s="44"/>
      <c r="AL81" s="44"/>
    </row>
    <row r="82">
      <c r="A82" s="34" t="b">
        <v>0</v>
      </c>
      <c r="B82" s="46">
        <v>45607.0</v>
      </c>
      <c r="C82" s="18" t="s">
        <v>219</v>
      </c>
      <c r="D82" s="60" t="s">
        <v>397</v>
      </c>
      <c r="E82" s="37" t="s">
        <v>221</v>
      </c>
      <c r="F82" s="37" t="s">
        <v>398</v>
      </c>
      <c r="G82" s="38">
        <v>659269.0</v>
      </c>
      <c r="H82" s="39" t="s">
        <v>171</v>
      </c>
      <c r="I82" s="39">
        <v>3.0</v>
      </c>
      <c r="J82" s="38">
        <f t="shared" si="7"/>
        <v>19778.07</v>
      </c>
      <c r="K82" s="38">
        <f t="shared" si="2"/>
        <v>988.9035</v>
      </c>
      <c r="L82" s="39">
        <v>83.0</v>
      </c>
      <c r="M82" s="38">
        <f t="shared" si="13"/>
        <v>16415.7981</v>
      </c>
      <c r="N82" s="38">
        <f>J82*0.05</f>
        <v>988.9035</v>
      </c>
      <c r="O82" s="38"/>
      <c r="P82" s="38"/>
      <c r="Q82" s="40">
        <f t="shared" si="34"/>
        <v>2373.3684</v>
      </c>
      <c r="R82" s="39"/>
      <c r="S82" s="35">
        <v>45653.0</v>
      </c>
      <c r="T82" s="39" t="s">
        <v>399</v>
      </c>
      <c r="U82" s="47"/>
      <c r="V82" s="47"/>
      <c r="W82" s="47"/>
      <c r="X82" s="45" t="s">
        <v>222</v>
      </c>
      <c r="Y82" s="44"/>
      <c r="Z82" s="44"/>
      <c r="AA82" s="44"/>
      <c r="AB82" s="44"/>
      <c r="AC82" s="44"/>
      <c r="AD82" s="44"/>
      <c r="AE82" s="44"/>
      <c r="AF82" s="44"/>
      <c r="AG82" s="44"/>
      <c r="AH82" s="44"/>
      <c r="AI82" s="44"/>
      <c r="AJ82" s="44"/>
      <c r="AK82" s="44"/>
      <c r="AL82" s="44"/>
    </row>
    <row r="83">
      <c r="A83" s="34" t="b">
        <v>0</v>
      </c>
      <c r="B83" s="46">
        <v>45608.0</v>
      </c>
      <c r="C83" s="18" t="s">
        <v>157</v>
      </c>
      <c r="D83" s="37" t="s">
        <v>400</v>
      </c>
      <c r="E83" s="37" t="s">
        <v>401</v>
      </c>
      <c r="F83" s="37" t="s">
        <v>157</v>
      </c>
      <c r="G83" s="38">
        <v>1.6266063E7</v>
      </c>
      <c r="H83" s="39" t="s">
        <v>185</v>
      </c>
      <c r="I83" s="39">
        <v>4.0</v>
      </c>
      <c r="J83" s="38">
        <f t="shared" si="7"/>
        <v>650642.52</v>
      </c>
      <c r="K83" s="38">
        <f t="shared" si="2"/>
        <v>32532.126</v>
      </c>
      <c r="L83" s="39">
        <v>90.0</v>
      </c>
      <c r="M83" s="38">
        <f t="shared" si="13"/>
        <v>585578.268</v>
      </c>
      <c r="N83" s="38"/>
      <c r="O83" s="38"/>
      <c r="P83" s="38"/>
      <c r="Q83" s="40">
        <f t="shared" si="34"/>
        <v>65064.252</v>
      </c>
      <c r="R83" s="39"/>
      <c r="S83" s="35">
        <v>45640.0</v>
      </c>
      <c r="T83" s="39" t="s">
        <v>402</v>
      </c>
      <c r="U83" s="51"/>
      <c r="V83" s="51"/>
      <c r="W83" s="51"/>
      <c r="X83" s="55" t="s">
        <v>2</v>
      </c>
      <c r="Y83" s="44"/>
      <c r="Z83" s="44"/>
      <c r="AA83" s="44"/>
      <c r="AB83" s="44"/>
      <c r="AC83" s="44"/>
      <c r="AD83" s="44"/>
      <c r="AE83" s="44"/>
      <c r="AF83" s="44"/>
      <c r="AG83" s="44"/>
      <c r="AH83" s="44"/>
      <c r="AI83" s="44"/>
      <c r="AJ83" s="44"/>
      <c r="AK83" s="44"/>
      <c r="AL83" s="44"/>
    </row>
    <row r="84">
      <c r="A84" s="34" t="b">
        <v>0</v>
      </c>
      <c r="B84" s="46">
        <v>45608.0</v>
      </c>
      <c r="C84" s="39" t="s">
        <v>157</v>
      </c>
      <c r="D84" s="37" t="s">
        <v>403</v>
      </c>
      <c r="E84" s="37" t="s">
        <v>404</v>
      </c>
      <c r="F84" s="37"/>
      <c r="G84" s="38">
        <v>1472743.0</v>
      </c>
      <c r="H84" s="39" t="s">
        <v>405</v>
      </c>
      <c r="I84" s="39">
        <v>4.0</v>
      </c>
      <c r="J84" s="38">
        <f t="shared" si="7"/>
        <v>58909.72</v>
      </c>
      <c r="K84" s="38">
        <f t="shared" si="2"/>
        <v>2945.486</v>
      </c>
      <c r="L84" s="39">
        <v>80.0</v>
      </c>
      <c r="M84" s="38">
        <f t="shared" si="13"/>
        <v>47127.776</v>
      </c>
      <c r="N84" s="38"/>
      <c r="O84" s="38"/>
      <c r="P84" s="38"/>
      <c r="Q84" s="40">
        <f t="shared" si="34"/>
        <v>11781.944</v>
      </c>
      <c r="R84" s="49">
        <v>45698.0</v>
      </c>
      <c r="S84" s="49">
        <v>45798.0</v>
      </c>
      <c r="T84" s="39" t="s">
        <v>406</v>
      </c>
      <c r="U84" s="47"/>
      <c r="V84" s="47"/>
      <c r="W84" s="47"/>
      <c r="X84" s="45" t="s">
        <v>2</v>
      </c>
      <c r="Y84" s="44"/>
      <c r="Z84" s="44"/>
      <c r="AA84" s="44"/>
      <c r="AB84" s="44"/>
      <c r="AC84" s="44"/>
      <c r="AD84" s="44"/>
      <c r="AE84" s="44"/>
      <c r="AF84" s="44"/>
      <c r="AG84" s="44"/>
      <c r="AH84" s="44"/>
      <c r="AI84" s="44"/>
      <c r="AJ84" s="44"/>
      <c r="AK84" s="44"/>
      <c r="AL84" s="44"/>
    </row>
    <row r="85">
      <c r="A85" s="34" t="b">
        <v>0</v>
      </c>
      <c r="B85" s="46">
        <v>45617.0</v>
      </c>
      <c r="C85" s="39" t="s">
        <v>157</v>
      </c>
      <c r="D85" s="37" t="s">
        <v>407</v>
      </c>
      <c r="E85" s="37" t="s">
        <v>408</v>
      </c>
      <c r="F85" s="37" t="s">
        <v>157</v>
      </c>
      <c r="G85" s="38">
        <v>3664700.0</v>
      </c>
      <c r="H85" s="39" t="s">
        <v>185</v>
      </c>
      <c r="I85" s="39">
        <v>5.0</v>
      </c>
      <c r="J85" s="38">
        <f t="shared" si="7"/>
        <v>183235</v>
      </c>
      <c r="K85" s="38">
        <f t="shared" si="2"/>
        <v>9161.75</v>
      </c>
      <c r="L85" s="39">
        <v>50.0</v>
      </c>
      <c r="M85" s="38">
        <f t="shared" si="13"/>
        <v>91617.5</v>
      </c>
      <c r="N85" s="38">
        <f>J85*0.3</f>
        <v>54970.5</v>
      </c>
      <c r="O85" s="38"/>
      <c r="P85" s="38"/>
      <c r="Q85" s="40">
        <f t="shared" si="34"/>
        <v>36647</v>
      </c>
      <c r="R85" s="39"/>
      <c r="S85" s="49">
        <v>45712.0</v>
      </c>
      <c r="T85" s="39" t="s">
        <v>409</v>
      </c>
      <c r="U85" s="47"/>
      <c r="V85" s="47"/>
      <c r="W85" s="47"/>
      <c r="X85" s="45"/>
      <c r="Y85" s="44"/>
      <c r="Z85" s="44"/>
      <c r="AA85" s="44"/>
      <c r="AB85" s="44"/>
      <c r="AC85" s="44"/>
      <c r="AD85" s="44"/>
      <c r="AE85" s="44"/>
      <c r="AF85" s="44"/>
      <c r="AG85" s="44"/>
      <c r="AH85" s="44"/>
      <c r="AI85" s="44"/>
      <c r="AJ85" s="44"/>
      <c r="AK85" s="44"/>
      <c r="AL85" s="44"/>
    </row>
    <row r="86">
      <c r="A86" s="34" t="b">
        <v>0</v>
      </c>
      <c r="B86" s="46">
        <v>45624.0</v>
      </c>
      <c r="C86" s="39" t="s">
        <v>157</v>
      </c>
      <c r="D86" s="37" t="s">
        <v>410</v>
      </c>
      <c r="E86" s="37" t="s">
        <v>401</v>
      </c>
      <c r="F86" s="37" t="s">
        <v>157</v>
      </c>
      <c r="G86" s="38">
        <v>1.6781049E7</v>
      </c>
      <c r="H86" s="39" t="s">
        <v>185</v>
      </c>
      <c r="I86" s="39">
        <v>4.0</v>
      </c>
      <c r="J86" s="38">
        <f t="shared" si="7"/>
        <v>671241.96</v>
      </c>
      <c r="K86" s="38">
        <f t="shared" si="2"/>
        <v>33562.098</v>
      </c>
      <c r="L86" s="39">
        <v>90.0</v>
      </c>
      <c r="M86" s="38">
        <f t="shared" si="13"/>
        <v>604117.764</v>
      </c>
      <c r="N86" s="38">
        <v>0.0</v>
      </c>
      <c r="O86" s="38"/>
      <c r="P86" s="38"/>
      <c r="Q86" s="40">
        <f t="shared" si="34"/>
        <v>67124.196</v>
      </c>
      <c r="R86" s="49">
        <v>45659.0</v>
      </c>
      <c r="S86" s="49">
        <v>45763.0</v>
      </c>
      <c r="T86" s="39" t="s">
        <v>411</v>
      </c>
      <c r="U86" s="47"/>
      <c r="V86" s="47"/>
      <c r="W86" s="47"/>
      <c r="X86" s="45" t="s">
        <v>2</v>
      </c>
      <c r="Y86" s="44"/>
      <c r="Z86" s="44"/>
      <c r="AA86" s="44"/>
      <c r="AB86" s="44"/>
      <c r="AC86" s="44"/>
      <c r="AD86" s="44"/>
      <c r="AE86" s="44"/>
      <c r="AF86" s="44"/>
      <c r="AG86" s="44"/>
      <c r="AH86" s="44"/>
      <c r="AI86" s="44"/>
      <c r="AJ86" s="44"/>
      <c r="AK86" s="44"/>
      <c r="AL86" s="44"/>
    </row>
    <row r="87">
      <c r="A87" s="34" t="b">
        <v>0</v>
      </c>
      <c r="B87" s="46">
        <v>45626.0</v>
      </c>
      <c r="C87" s="18" t="s">
        <v>150</v>
      </c>
      <c r="D87" s="37" t="s">
        <v>412</v>
      </c>
      <c r="E87" s="37" t="s">
        <v>413</v>
      </c>
      <c r="F87" s="37" t="s">
        <v>375</v>
      </c>
      <c r="G87" s="38">
        <v>648593.16</v>
      </c>
      <c r="H87" s="39" t="s">
        <v>279</v>
      </c>
      <c r="I87" s="39">
        <v>4.0</v>
      </c>
      <c r="J87" s="38">
        <f t="shared" si="7"/>
        <v>25943.7264</v>
      </c>
      <c r="K87" s="38">
        <f t="shared" si="2"/>
        <v>1297.18632</v>
      </c>
      <c r="L87" s="39">
        <v>88.0</v>
      </c>
      <c r="M87" s="38">
        <f t="shared" si="13"/>
        <v>22830.47923</v>
      </c>
      <c r="N87" s="69">
        <f>J87*0.022</f>
        <v>570.7619808</v>
      </c>
      <c r="O87" s="69"/>
      <c r="P87" s="38"/>
      <c r="Q87" s="40">
        <f t="shared" si="34"/>
        <v>2542.485187</v>
      </c>
      <c r="R87" s="39"/>
      <c r="S87" s="49">
        <v>45675.0</v>
      </c>
      <c r="T87" s="39" t="s">
        <v>414</v>
      </c>
      <c r="U87" s="47"/>
      <c r="V87" s="47"/>
      <c r="W87" s="47"/>
      <c r="X87" s="45" t="s">
        <v>375</v>
      </c>
      <c r="Y87" s="44"/>
      <c r="Z87" s="44"/>
      <c r="AA87" s="44"/>
      <c r="AB87" s="44"/>
      <c r="AC87" s="44"/>
      <c r="AD87" s="44"/>
      <c r="AE87" s="44"/>
      <c r="AF87" s="44"/>
      <c r="AG87" s="44"/>
      <c r="AH87" s="44"/>
      <c r="AI87" s="44"/>
      <c r="AJ87" s="44"/>
      <c r="AK87" s="44"/>
      <c r="AL87" s="44"/>
    </row>
    <row r="88">
      <c r="A88" s="34" t="b">
        <v>0</v>
      </c>
      <c r="B88" s="46">
        <v>45628.0</v>
      </c>
      <c r="C88" s="39" t="s">
        <v>150</v>
      </c>
      <c r="D88" s="37" t="s">
        <v>415</v>
      </c>
      <c r="E88" s="37" t="s">
        <v>200</v>
      </c>
      <c r="F88" s="37" t="s">
        <v>416</v>
      </c>
      <c r="G88" s="38">
        <v>919450.0</v>
      </c>
      <c r="H88" s="39" t="s">
        <v>194</v>
      </c>
      <c r="I88" s="39">
        <v>5.0</v>
      </c>
      <c r="J88" s="38">
        <f t="shared" si="7"/>
        <v>45972.5</v>
      </c>
      <c r="K88" s="38">
        <f t="shared" si="2"/>
        <v>2298.625</v>
      </c>
      <c r="L88" s="39">
        <v>80.0</v>
      </c>
      <c r="M88" s="38">
        <f t="shared" si="13"/>
        <v>36778</v>
      </c>
      <c r="N88" s="38">
        <f>J88*0.09</f>
        <v>4137.525</v>
      </c>
      <c r="O88" s="38"/>
      <c r="P88" s="38"/>
      <c r="Q88" s="40">
        <f t="shared" si="34"/>
        <v>5056.975</v>
      </c>
      <c r="R88" s="49">
        <v>45695.0</v>
      </c>
      <c r="S88" s="49">
        <v>45750.0</v>
      </c>
      <c r="T88" s="39" t="s">
        <v>417</v>
      </c>
      <c r="U88" s="47"/>
      <c r="V88" s="47"/>
      <c r="W88" s="47"/>
      <c r="X88" s="45" t="s">
        <v>315</v>
      </c>
      <c r="Y88" s="44"/>
      <c r="Z88" s="44"/>
      <c r="AA88" s="44"/>
      <c r="AB88" s="44"/>
      <c r="AC88" s="44"/>
      <c r="AD88" s="44"/>
      <c r="AE88" s="44"/>
      <c r="AF88" s="44"/>
      <c r="AG88" s="44"/>
      <c r="AH88" s="44"/>
      <c r="AI88" s="44"/>
      <c r="AJ88" s="44"/>
      <c r="AK88" s="44"/>
      <c r="AL88" s="44"/>
    </row>
    <row r="89">
      <c r="A89" s="34" t="b">
        <v>0</v>
      </c>
      <c r="B89" s="46">
        <v>45633.0</v>
      </c>
      <c r="C89" s="18" t="s">
        <v>150</v>
      </c>
      <c r="D89" s="37" t="s">
        <v>418</v>
      </c>
      <c r="E89" s="37" t="s">
        <v>237</v>
      </c>
      <c r="F89" s="37" t="s">
        <v>419</v>
      </c>
      <c r="G89" s="38">
        <v>1400000.0</v>
      </c>
      <c r="H89" s="39" t="s">
        <v>420</v>
      </c>
      <c r="I89" s="39">
        <v>5.0</v>
      </c>
      <c r="J89" s="38">
        <f t="shared" si="7"/>
        <v>70000</v>
      </c>
      <c r="K89" s="38">
        <f t="shared" si="2"/>
        <v>3500</v>
      </c>
      <c r="L89" s="39">
        <v>88.0</v>
      </c>
      <c r="M89" s="38">
        <f t="shared" si="13"/>
        <v>61600</v>
      </c>
      <c r="N89" s="38">
        <f t="shared" ref="N89:N90" si="36">J89*0.01</f>
        <v>700</v>
      </c>
      <c r="O89" s="38">
        <f t="shared" ref="O89:O90" si="37">J89*0.01</f>
        <v>700</v>
      </c>
      <c r="P89" s="38"/>
      <c r="Q89" s="40">
        <f t="shared" si="34"/>
        <v>7700</v>
      </c>
      <c r="R89" s="35">
        <v>45656.0</v>
      </c>
      <c r="S89" s="49">
        <v>45684.0</v>
      </c>
      <c r="T89" s="39" t="s">
        <v>421</v>
      </c>
      <c r="U89" s="39"/>
      <c r="V89" s="47"/>
      <c r="W89" s="47"/>
      <c r="X89" s="45" t="s">
        <v>295</v>
      </c>
      <c r="Y89" s="44"/>
      <c r="Z89" s="44"/>
      <c r="AA89" s="44"/>
      <c r="AB89" s="44"/>
      <c r="AC89" s="44"/>
      <c r="AD89" s="44"/>
      <c r="AE89" s="44"/>
      <c r="AF89" s="44"/>
      <c r="AG89" s="44"/>
      <c r="AH89" s="44"/>
      <c r="AI89" s="44"/>
      <c r="AJ89" s="44"/>
      <c r="AK89" s="44"/>
      <c r="AL89" s="44"/>
    </row>
    <row r="90">
      <c r="A90" s="34" t="b">
        <v>0</v>
      </c>
      <c r="B90" s="46">
        <v>45635.0</v>
      </c>
      <c r="C90" s="39" t="s">
        <v>150</v>
      </c>
      <c r="D90" s="37" t="s">
        <v>422</v>
      </c>
      <c r="E90" s="37" t="s">
        <v>329</v>
      </c>
      <c r="F90" s="37" t="s">
        <v>222</v>
      </c>
      <c r="G90" s="38">
        <v>2766029.0</v>
      </c>
      <c r="H90" s="39" t="s">
        <v>215</v>
      </c>
      <c r="I90" s="39">
        <v>6.0</v>
      </c>
      <c r="J90" s="38">
        <f t="shared" si="7"/>
        <v>165961.74</v>
      </c>
      <c r="K90" s="38">
        <f t="shared" si="2"/>
        <v>8298.087</v>
      </c>
      <c r="L90" s="39">
        <v>88.0</v>
      </c>
      <c r="M90" s="38">
        <f t="shared" si="13"/>
        <v>146046.3312</v>
      </c>
      <c r="N90" s="38">
        <f t="shared" si="36"/>
        <v>1659.6174</v>
      </c>
      <c r="O90" s="38">
        <f t="shared" si="37"/>
        <v>1659.6174</v>
      </c>
      <c r="P90" s="38">
        <f>J90*0.015</f>
        <v>2489.4261</v>
      </c>
      <c r="Q90" s="40">
        <f>J90-M90-N90-P90</f>
        <v>15766.3653</v>
      </c>
      <c r="R90" s="39"/>
      <c r="S90" s="39"/>
      <c r="T90" s="39" t="s">
        <v>423</v>
      </c>
      <c r="U90" s="47"/>
      <c r="V90" s="47"/>
      <c r="W90" s="47"/>
      <c r="X90" s="45" t="s">
        <v>295</v>
      </c>
      <c r="Y90" s="44"/>
      <c r="Z90" s="44"/>
      <c r="AA90" s="44"/>
      <c r="AB90" s="44"/>
      <c r="AC90" s="44"/>
      <c r="AD90" s="44"/>
      <c r="AE90" s="44"/>
      <c r="AF90" s="44"/>
      <c r="AG90" s="44"/>
      <c r="AH90" s="44"/>
      <c r="AI90" s="44"/>
      <c r="AJ90" s="44"/>
      <c r="AK90" s="44"/>
      <c r="AL90" s="44"/>
    </row>
    <row r="91">
      <c r="A91" s="34" t="b">
        <v>0</v>
      </c>
      <c r="B91" s="46">
        <v>45639.0</v>
      </c>
      <c r="C91" s="39" t="s">
        <v>150</v>
      </c>
      <c r="D91" s="37" t="s">
        <v>424</v>
      </c>
      <c r="E91" s="37" t="s">
        <v>200</v>
      </c>
      <c r="F91" s="37" t="s">
        <v>312</v>
      </c>
      <c r="G91" s="38">
        <v>920375.0</v>
      </c>
      <c r="H91" s="39" t="s">
        <v>194</v>
      </c>
      <c r="I91" s="39">
        <v>5.0</v>
      </c>
      <c r="J91" s="38">
        <f t="shared" si="7"/>
        <v>46018.75</v>
      </c>
      <c r="K91" s="38">
        <f t="shared" si="2"/>
        <v>2300.9375</v>
      </c>
      <c r="L91" s="39">
        <v>80.0</v>
      </c>
      <c r="M91" s="38">
        <f t="shared" si="13"/>
        <v>36815</v>
      </c>
      <c r="N91" s="38">
        <f>J91*0.09</f>
        <v>4141.6875</v>
      </c>
      <c r="O91" s="38"/>
      <c r="P91" s="38">
        <f>J91*0.0075</f>
        <v>345.140625</v>
      </c>
      <c r="Q91" s="40">
        <f t="shared" ref="Q91:Q131" si="38">J91-M91-N91</f>
        <v>5062.0625</v>
      </c>
      <c r="R91" s="49">
        <v>45695.0</v>
      </c>
      <c r="S91" s="49">
        <v>45750.0</v>
      </c>
      <c r="T91" s="39" t="s">
        <v>417</v>
      </c>
      <c r="U91" s="47"/>
      <c r="V91" s="47"/>
      <c r="W91" s="47"/>
      <c r="X91" s="45"/>
      <c r="Y91" s="44"/>
      <c r="Z91" s="44"/>
      <c r="AA91" s="44"/>
      <c r="AB91" s="44"/>
      <c r="AC91" s="44"/>
      <c r="AD91" s="44"/>
      <c r="AE91" s="44"/>
      <c r="AF91" s="44"/>
      <c r="AG91" s="44"/>
      <c r="AH91" s="44"/>
      <c r="AI91" s="44"/>
      <c r="AJ91" s="44"/>
      <c r="AK91" s="44"/>
      <c r="AL91" s="44"/>
    </row>
    <row r="92">
      <c r="A92" s="34" t="b">
        <v>0</v>
      </c>
      <c r="B92" s="46">
        <v>45645.0</v>
      </c>
      <c r="C92" s="18" t="s">
        <v>150</v>
      </c>
      <c r="D92" s="37" t="s">
        <v>425</v>
      </c>
      <c r="E92" s="37" t="s">
        <v>426</v>
      </c>
      <c r="F92" s="37" t="s">
        <v>427</v>
      </c>
      <c r="G92" s="38">
        <v>846429.0</v>
      </c>
      <c r="H92" s="39" t="s">
        <v>428</v>
      </c>
      <c r="I92" s="39">
        <v>5.0</v>
      </c>
      <c r="J92" s="38">
        <f t="shared" si="7"/>
        <v>42321.45</v>
      </c>
      <c r="K92" s="38">
        <f t="shared" si="2"/>
        <v>2116.0725</v>
      </c>
      <c r="L92" s="39">
        <v>88.0</v>
      </c>
      <c r="M92" s="38">
        <f t="shared" si="13"/>
        <v>37242.876</v>
      </c>
      <c r="N92" s="38">
        <f t="shared" ref="N92:N97" si="39">J92*0.01</f>
        <v>423.2145</v>
      </c>
      <c r="O92" s="38"/>
      <c r="P92" s="38">
        <f t="shared" ref="P92:P93" si="40">J92*0.0025</f>
        <v>105.803625</v>
      </c>
      <c r="Q92" s="40">
        <f t="shared" si="38"/>
        <v>4655.3595</v>
      </c>
      <c r="R92" s="39"/>
      <c r="S92" s="49">
        <v>45666.0</v>
      </c>
      <c r="T92" s="39" t="s">
        <v>429</v>
      </c>
      <c r="U92" s="80" t="s">
        <v>430</v>
      </c>
      <c r="V92" s="47"/>
      <c r="W92" s="47"/>
      <c r="X92" s="45"/>
      <c r="Y92" s="44"/>
      <c r="Z92" s="44"/>
      <c r="AA92" s="44"/>
      <c r="AB92" s="44"/>
      <c r="AC92" s="44"/>
      <c r="AD92" s="44"/>
      <c r="AE92" s="44"/>
      <c r="AF92" s="44"/>
      <c r="AG92" s="44"/>
      <c r="AH92" s="44"/>
      <c r="AI92" s="44"/>
      <c r="AJ92" s="44"/>
      <c r="AK92" s="44"/>
      <c r="AL92" s="44"/>
    </row>
    <row r="93">
      <c r="A93" s="34" t="b">
        <v>0</v>
      </c>
      <c r="B93" s="46">
        <v>45645.0</v>
      </c>
      <c r="C93" s="18" t="s">
        <v>150</v>
      </c>
      <c r="D93" s="37" t="s">
        <v>431</v>
      </c>
      <c r="E93" s="37" t="s">
        <v>426</v>
      </c>
      <c r="F93" s="37" t="s">
        <v>427</v>
      </c>
      <c r="G93" s="38">
        <v>1411723.0</v>
      </c>
      <c r="H93" s="39" t="s">
        <v>428</v>
      </c>
      <c r="I93" s="39">
        <v>5.0</v>
      </c>
      <c r="J93" s="38">
        <f t="shared" si="7"/>
        <v>70586.15</v>
      </c>
      <c r="K93" s="38">
        <f t="shared" si="2"/>
        <v>3529.3075</v>
      </c>
      <c r="L93" s="39">
        <v>88.0</v>
      </c>
      <c r="M93" s="38">
        <f t="shared" si="13"/>
        <v>62115.812</v>
      </c>
      <c r="N93" s="38">
        <f t="shared" si="39"/>
        <v>705.8615</v>
      </c>
      <c r="O93" s="38"/>
      <c r="P93" s="38">
        <f t="shared" si="40"/>
        <v>176.465375</v>
      </c>
      <c r="Q93" s="40">
        <f t="shared" si="38"/>
        <v>7764.4765</v>
      </c>
      <c r="R93" s="39"/>
      <c r="S93" s="49">
        <v>45666.0</v>
      </c>
      <c r="T93" s="39" t="s">
        <v>429</v>
      </c>
      <c r="U93" s="59" t="s">
        <v>432</v>
      </c>
      <c r="V93" s="81"/>
      <c r="W93" s="81"/>
      <c r="X93" s="82"/>
      <c r="Y93" s="44"/>
      <c r="Z93" s="44"/>
      <c r="AA93" s="44"/>
      <c r="AB93" s="44"/>
      <c r="AC93" s="44"/>
      <c r="AD93" s="44"/>
      <c r="AE93" s="44"/>
      <c r="AF93" s="44"/>
      <c r="AG93" s="44"/>
      <c r="AH93" s="44"/>
      <c r="AI93" s="44"/>
      <c r="AJ93" s="44"/>
      <c r="AK93" s="44"/>
      <c r="AL93" s="44"/>
    </row>
    <row r="94">
      <c r="A94" s="34" t="b">
        <v>0</v>
      </c>
      <c r="B94" s="46">
        <v>45645.0</v>
      </c>
      <c r="C94" s="39" t="s">
        <v>150</v>
      </c>
      <c r="D94" s="37" t="s">
        <v>433</v>
      </c>
      <c r="E94" s="37" t="s">
        <v>434</v>
      </c>
      <c r="F94" s="37" t="s">
        <v>435</v>
      </c>
      <c r="G94" s="38">
        <v>1200000.0</v>
      </c>
      <c r="H94" s="39" t="s">
        <v>223</v>
      </c>
      <c r="I94" s="39">
        <v>6.0</v>
      </c>
      <c r="J94" s="38">
        <f t="shared" si="7"/>
        <v>72000</v>
      </c>
      <c r="K94" s="38">
        <f t="shared" si="2"/>
        <v>3600</v>
      </c>
      <c r="L94" s="39">
        <v>88.0</v>
      </c>
      <c r="M94" s="38">
        <f t="shared" si="13"/>
        <v>63360</v>
      </c>
      <c r="N94" s="38">
        <f t="shared" si="39"/>
        <v>720</v>
      </c>
      <c r="O94" s="38"/>
      <c r="P94" s="38">
        <f t="shared" ref="P94:P95" si="41">J94*0.0075</f>
        <v>540</v>
      </c>
      <c r="Q94" s="40">
        <f t="shared" si="38"/>
        <v>7920</v>
      </c>
      <c r="R94" s="49">
        <v>45706.0</v>
      </c>
      <c r="S94" s="49">
        <v>45727.0</v>
      </c>
      <c r="T94" s="39" t="s">
        <v>436</v>
      </c>
      <c r="U94" s="47"/>
      <c r="V94" s="47"/>
      <c r="W94" s="47"/>
      <c r="X94" s="45"/>
      <c r="Y94" s="44"/>
      <c r="Z94" s="44"/>
      <c r="AA94" s="44"/>
      <c r="AB94" s="44"/>
      <c r="AC94" s="44"/>
      <c r="AD94" s="44"/>
      <c r="AE94" s="44"/>
      <c r="AF94" s="44"/>
      <c r="AG94" s="44"/>
      <c r="AH94" s="44"/>
      <c r="AI94" s="44"/>
      <c r="AJ94" s="44"/>
      <c r="AK94" s="44"/>
      <c r="AL94" s="44"/>
    </row>
    <row r="95">
      <c r="A95" s="34" t="b">
        <v>0</v>
      </c>
      <c r="B95" s="46">
        <v>45646.0</v>
      </c>
      <c r="C95" s="39" t="s">
        <v>150</v>
      </c>
      <c r="D95" s="37" t="s">
        <v>437</v>
      </c>
      <c r="E95" s="37" t="s">
        <v>438</v>
      </c>
      <c r="F95" s="37" t="s">
        <v>439</v>
      </c>
      <c r="G95" s="38">
        <v>1350000.0</v>
      </c>
      <c r="H95" s="39" t="s">
        <v>405</v>
      </c>
      <c r="I95" s="39">
        <v>4.0</v>
      </c>
      <c r="J95" s="38">
        <f t="shared" si="7"/>
        <v>54000</v>
      </c>
      <c r="K95" s="38">
        <f t="shared" si="2"/>
        <v>2700</v>
      </c>
      <c r="L95" s="39">
        <v>80.0</v>
      </c>
      <c r="M95" s="38">
        <f t="shared" si="13"/>
        <v>43200</v>
      </c>
      <c r="N95" s="38">
        <f t="shared" si="39"/>
        <v>540</v>
      </c>
      <c r="O95" s="38"/>
      <c r="P95" s="38">
        <f t="shared" si="41"/>
        <v>405</v>
      </c>
      <c r="Q95" s="40">
        <f t="shared" si="38"/>
        <v>10260</v>
      </c>
      <c r="R95" s="49">
        <v>45749.0</v>
      </c>
      <c r="S95" s="49">
        <v>45750.0</v>
      </c>
      <c r="T95" s="39" t="s">
        <v>440</v>
      </c>
      <c r="U95" s="59" t="s">
        <v>432</v>
      </c>
      <c r="V95" s="47"/>
      <c r="W95" s="47"/>
      <c r="X95" s="45"/>
      <c r="Y95" s="44"/>
      <c r="Z95" s="44"/>
      <c r="AA95" s="44"/>
      <c r="AB95" s="44"/>
      <c r="AC95" s="44"/>
      <c r="AD95" s="44"/>
      <c r="AE95" s="44"/>
      <c r="AF95" s="44"/>
      <c r="AG95" s="44"/>
      <c r="AH95" s="44"/>
      <c r="AI95" s="44"/>
      <c r="AJ95" s="44"/>
      <c r="AK95" s="44"/>
      <c r="AL95" s="44"/>
    </row>
    <row r="96">
      <c r="A96" s="34" t="b">
        <v>0</v>
      </c>
      <c r="B96" s="46">
        <v>45647.0</v>
      </c>
      <c r="C96" s="39" t="s">
        <v>150</v>
      </c>
      <c r="D96" s="37" t="s">
        <v>433</v>
      </c>
      <c r="E96" s="37" t="s">
        <v>434</v>
      </c>
      <c r="F96" s="37" t="s">
        <v>435</v>
      </c>
      <c r="G96" s="38">
        <v>1190000.0</v>
      </c>
      <c r="H96" s="39" t="s">
        <v>223</v>
      </c>
      <c r="I96" s="39">
        <v>6.0</v>
      </c>
      <c r="J96" s="38">
        <f t="shared" si="7"/>
        <v>71400</v>
      </c>
      <c r="K96" s="38">
        <f t="shared" si="2"/>
        <v>3570</v>
      </c>
      <c r="L96" s="39">
        <v>88.0</v>
      </c>
      <c r="M96" s="38">
        <f t="shared" si="13"/>
        <v>62832</v>
      </c>
      <c r="N96" s="38">
        <f t="shared" si="39"/>
        <v>714</v>
      </c>
      <c r="O96" s="38"/>
      <c r="P96" s="38"/>
      <c r="Q96" s="40">
        <f t="shared" si="38"/>
        <v>7854</v>
      </c>
      <c r="R96" s="49">
        <v>45812.0</v>
      </c>
      <c r="S96" s="49">
        <v>45877.0</v>
      </c>
      <c r="T96" s="37" t="s">
        <v>441</v>
      </c>
      <c r="U96" s="47"/>
      <c r="V96" s="47"/>
      <c r="W96" s="47"/>
      <c r="X96" s="45"/>
      <c r="Y96" s="44"/>
      <c r="Z96" s="44"/>
      <c r="AA96" s="44"/>
      <c r="AB96" s="44"/>
      <c r="AC96" s="44"/>
      <c r="AD96" s="44"/>
      <c r="AE96" s="44"/>
      <c r="AF96" s="44"/>
      <c r="AG96" s="44"/>
      <c r="AH96" s="44"/>
      <c r="AI96" s="44"/>
      <c r="AJ96" s="44"/>
      <c r="AK96" s="44"/>
      <c r="AL96" s="44"/>
    </row>
    <row r="97">
      <c r="A97" s="34" t="b">
        <v>0</v>
      </c>
      <c r="B97" s="46">
        <v>45649.0</v>
      </c>
      <c r="C97" s="39" t="s">
        <v>150</v>
      </c>
      <c r="D97" s="37" t="s">
        <v>433</v>
      </c>
      <c r="E97" s="37" t="s">
        <v>434</v>
      </c>
      <c r="F97" s="37" t="s">
        <v>435</v>
      </c>
      <c r="G97" s="38">
        <v>500000.0</v>
      </c>
      <c r="H97" s="39" t="s">
        <v>223</v>
      </c>
      <c r="I97" s="39">
        <v>6.0</v>
      </c>
      <c r="J97" s="38">
        <f t="shared" si="7"/>
        <v>30000</v>
      </c>
      <c r="K97" s="38">
        <f t="shared" si="2"/>
        <v>1500</v>
      </c>
      <c r="L97" s="39">
        <v>88.0</v>
      </c>
      <c r="M97" s="38">
        <f t="shared" si="13"/>
        <v>26400</v>
      </c>
      <c r="N97" s="38">
        <f t="shared" si="39"/>
        <v>300</v>
      </c>
      <c r="O97" s="38"/>
      <c r="P97" s="38">
        <f>J97*0.0075</f>
        <v>225</v>
      </c>
      <c r="Q97" s="40">
        <f t="shared" si="38"/>
        <v>3300</v>
      </c>
      <c r="R97" s="49">
        <v>45698.0</v>
      </c>
      <c r="S97" s="49">
        <v>45727.0</v>
      </c>
      <c r="T97" s="39" t="s">
        <v>442</v>
      </c>
      <c r="U97" s="47"/>
      <c r="V97" s="47"/>
      <c r="W97" s="47"/>
      <c r="X97" s="45"/>
      <c r="Y97" s="44"/>
      <c r="Z97" s="44"/>
      <c r="AA97" s="44"/>
      <c r="AB97" s="44"/>
      <c r="AC97" s="44"/>
      <c r="AD97" s="44"/>
      <c r="AE97" s="44"/>
      <c r="AF97" s="44"/>
      <c r="AG97" s="44"/>
      <c r="AH97" s="44"/>
      <c r="AI97" s="44"/>
      <c r="AJ97" s="44"/>
      <c r="AK97" s="44"/>
      <c r="AL97" s="44"/>
    </row>
    <row r="98">
      <c r="A98" s="34" t="b">
        <v>0</v>
      </c>
      <c r="B98" s="83">
        <v>45652.0</v>
      </c>
      <c r="C98" s="84" t="s">
        <v>219</v>
      </c>
      <c r="D98" s="85" t="s">
        <v>443</v>
      </c>
      <c r="E98" s="85" t="s">
        <v>221</v>
      </c>
      <c r="F98" s="85" t="s">
        <v>222</v>
      </c>
      <c r="G98" s="86">
        <v>1454494.0</v>
      </c>
      <c r="H98" s="84" t="s">
        <v>405</v>
      </c>
      <c r="I98" s="84">
        <v>4.0</v>
      </c>
      <c r="J98" s="86">
        <f t="shared" si="7"/>
        <v>58179.76</v>
      </c>
      <c r="K98" s="86">
        <f t="shared" si="2"/>
        <v>2908.988</v>
      </c>
      <c r="L98" s="84">
        <v>83.0</v>
      </c>
      <c r="M98" s="86">
        <f t="shared" si="13"/>
        <v>48289.2008</v>
      </c>
      <c r="N98" s="86">
        <f>J98*0.05</f>
        <v>2908.988</v>
      </c>
      <c r="O98" s="86"/>
      <c r="P98" s="86"/>
      <c r="Q98" s="87">
        <f t="shared" si="38"/>
        <v>6981.5712</v>
      </c>
      <c r="R98" s="88">
        <v>45664.0</v>
      </c>
      <c r="S98" s="88">
        <v>45741.0</v>
      </c>
      <c r="T98" s="84" t="s">
        <v>444</v>
      </c>
      <c r="U98" s="84" t="s">
        <v>445</v>
      </c>
      <c r="V98" s="89"/>
      <c r="W98" s="89"/>
      <c r="X98" s="90"/>
      <c r="Y98" s="91"/>
      <c r="Z98" s="91"/>
      <c r="AA98" s="91"/>
      <c r="AB98" s="91"/>
      <c r="AC98" s="91"/>
      <c r="AD98" s="91"/>
      <c r="AE98" s="91"/>
      <c r="AF98" s="91"/>
      <c r="AG98" s="91"/>
      <c r="AH98" s="91"/>
      <c r="AI98" s="91"/>
      <c r="AJ98" s="91"/>
      <c r="AK98" s="91"/>
      <c r="AL98" s="91"/>
    </row>
    <row r="99">
      <c r="A99" s="34" t="b">
        <v>0</v>
      </c>
      <c r="B99" s="46">
        <v>45659.0</v>
      </c>
      <c r="C99" s="18" t="s">
        <v>150</v>
      </c>
      <c r="D99" s="37" t="s">
        <v>446</v>
      </c>
      <c r="E99" s="37" t="s">
        <v>355</v>
      </c>
      <c r="F99" s="37" t="s">
        <v>333</v>
      </c>
      <c r="G99" s="38">
        <v>1414592.0</v>
      </c>
      <c r="H99" s="39" t="s">
        <v>234</v>
      </c>
      <c r="I99" s="39">
        <v>5.0</v>
      </c>
      <c r="J99" s="38">
        <f t="shared" si="7"/>
        <v>70729.6</v>
      </c>
      <c r="K99" s="38">
        <f t="shared" si="2"/>
        <v>3536.48</v>
      </c>
      <c r="L99" s="39">
        <v>88.0</v>
      </c>
      <c r="M99" s="38">
        <f t="shared" si="13"/>
        <v>62242.048</v>
      </c>
      <c r="N99" s="38">
        <f t="shared" ref="N99:N100" si="42">J99*0.01</f>
        <v>707.296</v>
      </c>
      <c r="O99" s="38"/>
      <c r="P99" s="38">
        <f>J99*0.0075</f>
        <v>530.472</v>
      </c>
      <c r="Q99" s="40">
        <f t="shared" si="38"/>
        <v>7780.256</v>
      </c>
      <c r="R99" s="39"/>
      <c r="S99" s="49">
        <v>45714.0</v>
      </c>
      <c r="T99" s="39" t="s">
        <v>447</v>
      </c>
      <c r="U99" s="39" t="s">
        <v>448</v>
      </c>
      <c r="V99" s="47"/>
      <c r="W99" s="47"/>
      <c r="X99" s="45"/>
      <c r="Y99" s="44"/>
      <c r="Z99" s="44"/>
      <c r="AA99" s="44"/>
      <c r="AB99" s="44"/>
      <c r="AC99" s="44"/>
      <c r="AD99" s="44"/>
      <c r="AE99" s="44"/>
      <c r="AF99" s="44"/>
      <c r="AG99" s="44"/>
      <c r="AH99" s="44"/>
      <c r="AI99" s="44"/>
      <c r="AJ99" s="44"/>
      <c r="AK99" s="44"/>
      <c r="AL99" s="44"/>
    </row>
    <row r="100">
      <c r="A100" s="34" t="b">
        <v>0</v>
      </c>
      <c r="B100" s="46">
        <v>45670.0</v>
      </c>
      <c r="C100" s="39" t="s">
        <v>150</v>
      </c>
      <c r="D100" s="37" t="s">
        <v>449</v>
      </c>
      <c r="E100" s="37" t="s">
        <v>426</v>
      </c>
      <c r="F100" s="37" t="s">
        <v>427</v>
      </c>
      <c r="G100" s="38">
        <v>3908888.0</v>
      </c>
      <c r="H100" s="39" t="s">
        <v>273</v>
      </c>
      <c r="I100" s="39">
        <v>4.0</v>
      </c>
      <c r="J100" s="38">
        <f t="shared" si="7"/>
        <v>156355.52</v>
      </c>
      <c r="K100" s="38">
        <f t="shared" si="2"/>
        <v>7817.776</v>
      </c>
      <c r="L100" s="39">
        <v>88.0</v>
      </c>
      <c r="M100" s="38">
        <f t="shared" si="13"/>
        <v>137592.8576</v>
      </c>
      <c r="N100" s="38">
        <f t="shared" si="42"/>
        <v>1563.5552</v>
      </c>
      <c r="O100" s="38"/>
      <c r="P100" s="38">
        <f>J100*0.0025</f>
        <v>390.8888</v>
      </c>
      <c r="Q100" s="40">
        <f t="shared" si="38"/>
        <v>17199.1072</v>
      </c>
      <c r="R100" s="39"/>
      <c r="S100" s="49">
        <v>45722.0</v>
      </c>
      <c r="T100" s="39" t="s">
        <v>450</v>
      </c>
      <c r="U100" s="47"/>
      <c r="V100" s="47"/>
      <c r="W100" s="47"/>
      <c r="X100" s="45"/>
      <c r="Y100" s="44"/>
      <c r="Z100" s="44"/>
      <c r="AA100" s="44"/>
      <c r="AB100" s="44"/>
      <c r="AC100" s="44"/>
      <c r="AD100" s="44"/>
      <c r="AE100" s="44"/>
      <c r="AF100" s="44"/>
      <c r="AG100" s="44"/>
      <c r="AH100" s="44"/>
      <c r="AI100" s="44"/>
      <c r="AJ100" s="44"/>
      <c r="AK100" s="44"/>
      <c r="AL100" s="44"/>
    </row>
    <row r="101">
      <c r="A101" s="34" t="b">
        <v>0</v>
      </c>
      <c r="B101" s="46">
        <v>45670.0</v>
      </c>
      <c r="C101" s="39" t="s">
        <v>150</v>
      </c>
      <c r="D101" s="37" t="s">
        <v>451</v>
      </c>
      <c r="E101" s="37" t="s">
        <v>200</v>
      </c>
      <c r="F101" s="37" t="s">
        <v>416</v>
      </c>
      <c r="G101" s="38">
        <v>1146075.0</v>
      </c>
      <c r="H101" s="39" t="s">
        <v>194</v>
      </c>
      <c r="I101" s="39">
        <v>4.0</v>
      </c>
      <c r="J101" s="38">
        <f t="shared" si="7"/>
        <v>45843</v>
      </c>
      <c r="K101" s="38">
        <f t="shared" si="2"/>
        <v>2292.15</v>
      </c>
      <c r="L101" s="39">
        <v>80.0</v>
      </c>
      <c r="M101" s="38">
        <f t="shared" si="13"/>
        <v>36674.4</v>
      </c>
      <c r="N101" s="38">
        <f>J101*0.09</f>
        <v>4125.87</v>
      </c>
      <c r="O101" s="38"/>
      <c r="P101" s="38">
        <f t="shared" ref="P101:P102" si="43">J101*0.0075</f>
        <v>343.8225</v>
      </c>
      <c r="Q101" s="40">
        <f t="shared" si="38"/>
        <v>5042.73</v>
      </c>
      <c r="R101" s="49">
        <v>45695.0</v>
      </c>
      <c r="S101" s="49">
        <v>45750.0</v>
      </c>
      <c r="T101" s="39" t="s">
        <v>417</v>
      </c>
      <c r="U101" s="47"/>
      <c r="V101" s="47"/>
      <c r="W101" s="47"/>
      <c r="X101" s="45"/>
      <c r="Y101" s="44"/>
      <c r="Z101" s="44"/>
      <c r="AA101" s="44"/>
      <c r="AB101" s="44"/>
      <c r="AC101" s="44"/>
      <c r="AD101" s="44"/>
      <c r="AE101" s="44"/>
      <c r="AF101" s="44"/>
      <c r="AG101" s="44"/>
      <c r="AH101" s="44"/>
      <c r="AI101" s="44"/>
      <c r="AJ101" s="44"/>
      <c r="AK101" s="44"/>
      <c r="AL101" s="44"/>
    </row>
    <row r="102">
      <c r="A102" s="34" t="b">
        <v>0</v>
      </c>
      <c r="B102" s="46">
        <v>45670.0</v>
      </c>
      <c r="C102" s="39" t="s">
        <v>150</v>
      </c>
      <c r="D102" s="37" t="s">
        <v>452</v>
      </c>
      <c r="E102" s="37" t="s">
        <v>342</v>
      </c>
      <c r="F102" s="37" t="s">
        <v>343</v>
      </c>
      <c r="G102" s="38">
        <v>1.368853E7</v>
      </c>
      <c r="H102" s="39" t="s">
        <v>185</v>
      </c>
      <c r="I102" s="39">
        <v>4.0</v>
      </c>
      <c r="J102" s="38">
        <f t="shared" si="7"/>
        <v>547541.2</v>
      </c>
      <c r="K102" s="38">
        <f t="shared" si="2"/>
        <v>27377.06</v>
      </c>
      <c r="L102" s="39">
        <v>90.0</v>
      </c>
      <c r="M102" s="38">
        <f t="shared" si="13"/>
        <v>492787.08</v>
      </c>
      <c r="N102" s="38">
        <f>J102*0.01</f>
        <v>5475.412</v>
      </c>
      <c r="O102" s="38">
        <f>J102*0.01</f>
        <v>5475.412</v>
      </c>
      <c r="P102" s="38">
        <f t="shared" si="43"/>
        <v>4106.559</v>
      </c>
      <c r="Q102" s="40">
        <f t="shared" si="38"/>
        <v>49278.708</v>
      </c>
      <c r="R102" s="49">
        <v>45705.0</v>
      </c>
      <c r="S102" s="49">
        <v>45734.0</v>
      </c>
      <c r="T102" s="39" t="s">
        <v>453</v>
      </c>
      <c r="U102" s="47"/>
      <c r="V102" s="47"/>
      <c r="W102" s="47"/>
      <c r="X102" s="45"/>
      <c r="Y102" s="44"/>
      <c r="Z102" s="44"/>
      <c r="AA102" s="44"/>
      <c r="AB102" s="44"/>
      <c r="AC102" s="44"/>
      <c r="AD102" s="44"/>
      <c r="AE102" s="44"/>
      <c r="AF102" s="44"/>
      <c r="AG102" s="44"/>
      <c r="AH102" s="44"/>
      <c r="AI102" s="44"/>
      <c r="AJ102" s="44"/>
      <c r="AK102" s="44"/>
      <c r="AL102" s="44"/>
    </row>
    <row r="103">
      <c r="A103" s="34" t="b">
        <v>0</v>
      </c>
      <c r="B103" s="46">
        <v>45673.0</v>
      </c>
      <c r="C103" s="39" t="s">
        <v>157</v>
      </c>
      <c r="D103" s="37" t="s">
        <v>454</v>
      </c>
      <c r="E103" s="37" t="s">
        <v>455</v>
      </c>
      <c r="F103" s="37" t="s">
        <v>456</v>
      </c>
      <c r="G103" s="38">
        <v>4516866.0</v>
      </c>
      <c r="H103" s="39" t="s">
        <v>185</v>
      </c>
      <c r="I103" s="39">
        <v>5.0</v>
      </c>
      <c r="J103" s="38">
        <f t="shared" si="7"/>
        <v>225843.3</v>
      </c>
      <c r="K103" s="38">
        <f t="shared" si="2"/>
        <v>11292.165</v>
      </c>
      <c r="L103" s="39">
        <v>50.0</v>
      </c>
      <c r="M103" s="38">
        <f t="shared" si="13"/>
        <v>112921.65</v>
      </c>
      <c r="N103" s="38">
        <f>J103*0.31</f>
        <v>70011.423</v>
      </c>
      <c r="O103" s="38"/>
      <c r="P103" s="38"/>
      <c r="Q103" s="40">
        <f t="shared" si="38"/>
        <v>42910.227</v>
      </c>
      <c r="R103" s="39"/>
      <c r="S103" s="49">
        <v>45712.0</v>
      </c>
      <c r="T103" s="39" t="s">
        <v>457</v>
      </c>
      <c r="U103" s="39" t="s">
        <v>335</v>
      </c>
      <c r="V103" s="47"/>
      <c r="W103" s="47"/>
      <c r="X103" s="45"/>
      <c r="Y103" s="44"/>
      <c r="Z103" s="44"/>
      <c r="AA103" s="44"/>
      <c r="AB103" s="44"/>
      <c r="AC103" s="44"/>
      <c r="AD103" s="44"/>
      <c r="AE103" s="44"/>
      <c r="AF103" s="44"/>
      <c r="AG103" s="44"/>
      <c r="AH103" s="44"/>
      <c r="AI103" s="44"/>
      <c r="AJ103" s="44"/>
      <c r="AK103" s="44"/>
      <c r="AL103" s="44"/>
    </row>
    <row r="104">
      <c r="A104" s="34" t="b">
        <v>0</v>
      </c>
      <c r="B104" s="46">
        <v>45674.0</v>
      </c>
      <c r="C104" s="39" t="s">
        <v>157</v>
      </c>
      <c r="D104" s="37" t="s">
        <v>458</v>
      </c>
      <c r="E104" s="37" t="s">
        <v>404</v>
      </c>
      <c r="F104" s="37" t="s">
        <v>157</v>
      </c>
      <c r="G104" s="38">
        <v>4094976.0</v>
      </c>
      <c r="H104" s="39" t="s">
        <v>185</v>
      </c>
      <c r="I104" s="39">
        <v>5.0</v>
      </c>
      <c r="J104" s="38">
        <f t="shared" si="7"/>
        <v>204748.8</v>
      </c>
      <c r="K104" s="38">
        <f t="shared" si="2"/>
        <v>10237.44</v>
      </c>
      <c r="L104" s="39">
        <v>80.0</v>
      </c>
      <c r="M104" s="38">
        <f t="shared" si="13"/>
        <v>163799.04</v>
      </c>
      <c r="N104" s="38"/>
      <c r="O104" s="38"/>
      <c r="P104" s="38"/>
      <c r="Q104" s="40">
        <f t="shared" si="38"/>
        <v>40949.76</v>
      </c>
      <c r="R104" s="49">
        <v>45733.0</v>
      </c>
      <c r="S104" s="49">
        <v>45741.0</v>
      </c>
      <c r="T104" s="39" t="s">
        <v>459</v>
      </c>
      <c r="U104" s="47"/>
      <c r="V104" s="47"/>
      <c r="W104" s="47"/>
      <c r="X104" s="45"/>
      <c r="Y104" s="44"/>
      <c r="Z104" s="44"/>
      <c r="AA104" s="44"/>
      <c r="AB104" s="44"/>
      <c r="AC104" s="44"/>
      <c r="AD104" s="44"/>
      <c r="AE104" s="44"/>
      <c r="AF104" s="44"/>
      <c r="AG104" s="44"/>
      <c r="AH104" s="44"/>
      <c r="AI104" s="44"/>
      <c r="AJ104" s="44"/>
      <c r="AK104" s="44"/>
      <c r="AL104" s="44"/>
    </row>
    <row r="105">
      <c r="A105" s="34" t="b">
        <v>0</v>
      </c>
      <c r="B105" s="46">
        <v>45674.0</v>
      </c>
      <c r="C105" s="39" t="s">
        <v>150</v>
      </c>
      <c r="D105" s="37" t="s">
        <v>460</v>
      </c>
      <c r="E105" s="37" t="s">
        <v>461</v>
      </c>
      <c r="F105" s="37" t="s">
        <v>462</v>
      </c>
      <c r="G105" s="38">
        <v>1626490.0</v>
      </c>
      <c r="H105" s="39" t="s">
        <v>463</v>
      </c>
      <c r="I105" s="39">
        <v>5.0</v>
      </c>
      <c r="J105" s="38">
        <f t="shared" si="7"/>
        <v>81324.5</v>
      </c>
      <c r="K105" s="38">
        <f t="shared" si="2"/>
        <v>4066.225</v>
      </c>
      <c r="L105" s="39">
        <v>88.0</v>
      </c>
      <c r="M105" s="38">
        <f t="shared" si="13"/>
        <v>71565.56</v>
      </c>
      <c r="N105" s="38">
        <f t="shared" ref="N105:N106" si="44">J105*0.01</f>
        <v>813.245</v>
      </c>
      <c r="O105" s="38"/>
      <c r="P105" s="38">
        <f t="shared" ref="P105:P107" si="45">J105*0.0075</f>
        <v>609.93375</v>
      </c>
      <c r="Q105" s="40">
        <f t="shared" si="38"/>
        <v>8945.695</v>
      </c>
      <c r="R105" s="49">
        <v>45713.0</v>
      </c>
      <c r="S105" s="49">
        <v>45768.0</v>
      </c>
      <c r="T105" s="39" t="s">
        <v>464</v>
      </c>
      <c r="U105" s="47"/>
      <c r="V105" s="47"/>
      <c r="W105" s="47"/>
      <c r="X105" s="45"/>
      <c r="Y105" s="44"/>
      <c r="Z105" s="44"/>
      <c r="AA105" s="44"/>
      <c r="AB105" s="44"/>
      <c r="AC105" s="44"/>
      <c r="AD105" s="44"/>
      <c r="AE105" s="44"/>
      <c r="AF105" s="44"/>
      <c r="AG105" s="44"/>
      <c r="AH105" s="44"/>
      <c r="AI105" s="44"/>
      <c r="AJ105" s="44"/>
      <c r="AK105" s="44"/>
      <c r="AL105" s="44"/>
    </row>
    <row r="106">
      <c r="A106" s="34" t="b">
        <v>0</v>
      </c>
      <c r="B106" s="46">
        <v>45674.0</v>
      </c>
      <c r="C106" s="18" t="s">
        <v>150</v>
      </c>
      <c r="D106" s="37" t="s">
        <v>465</v>
      </c>
      <c r="E106" s="37" t="s">
        <v>466</v>
      </c>
      <c r="F106" s="37" t="s">
        <v>467</v>
      </c>
      <c r="G106" s="38">
        <v>1133000.0</v>
      </c>
      <c r="H106" s="39" t="s">
        <v>293</v>
      </c>
      <c r="I106" s="39">
        <v>7.0</v>
      </c>
      <c r="J106" s="38">
        <f t="shared" si="7"/>
        <v>79310</v>
      </c>
      <c r="K106" s="38">
        <f t="shared" si="2"/>
        <v>3965.5</v>
      </c>
      <c r="L106" s="39">
        <v>88.0</v>
      </c>
      <c r="M106" s="38">
        <f t="shared" si="13"/>
        <v>69792.8</v>
      </c>
      <c r="N106" s="38">
        <f t="shared" si="44"/>
        <v>793.1</v>
      </c>
      <c r="O106" s="38"/>
      <c r="P106" s="38">
        <f t="shared" si="45"/>
        <v>594.825</v>
      </c>
      <c r="Q106" s="40">
        <f t="shared" si="38"/>
        <v>8724.1</v>
      </c>
      <c r="R106" s="39"/>
      <c r="S106" s="49">
        <v>45707.0</v>
      </c>
      <c r="T106" s="39" t="s">
        <v>468</v>
      </c>
      <c r="U106" s="47"/>
      <c r="V106" s="47"/>
      <c r="W106" s="47"/>
      <c r="X106" s="45"/>
      <c r="Y106" s="44"/>
      <c r="Z106" s="44"/>
      <c r="AA106" s="44"/>
      <c r="AB106" s="44"/>
      <c r="AC106" s="44"/>
      <c r="AD106" s="44"/>
      <c r="AE106" s="44"/>
      <c r="AF106" s="44"/>
      <c r="AG106" s="44"/>
      <c r="AH106" s="44"/>
      <c r="AI106" s="44"/>
      <c r="AJ106" s="44"/>
      <c r="AK106" s="44"/>
      <c r="AL106" s="44"/>
    </row>
    <row r="107">
      <c r="A107" s="34" t="b">
        <v>0</v>
      </c>
      <c r="B107" s="46">
        <v>45677.0</v>
      </c>
      <c r="C107" s="39" t="s">
        <v>150</v>
      </c>
      <c r="D107" s="37" t="s">
        <v>469</v>
      </c>
      <c r="E107" s="37" t="s">
        <v>470</v>
      </c>
      <c r="F107" s="37" t="s">
        <v>375</v>
      </c>
      <c r="G107" s="38">
        <v>1271711.11</v>
      </c>
      <c r="H107" s="39" t="s">
        <v>279</v>
      </c>
      <c r="I107" s="39">
        <v>6.0</v>
      </c>
      <c r="J107" s="38">
        <f t="shared" si="7"/>
        <v>76302.6666</v>
      </c>
      <c r="K107" s="38">
        <f t="shared" si="2"/>
        <v>3815.13333</v>
      </c>
      <c r="L107" s="39">
        <v>88.0</v>
      </c>
      <c r="M107" s="38">
        <f t="shared" si="13"/>
        <v>67146.34661</v>
      </c>
      <c r="N107" s="38">
        <f>J107*0.012</f>
        <v>915.6319992</v>
      </c>
      <c r="O107" s="38"/>
      <c r="P107" s="38">
        <f t="shared" si="45"/>
        <v>572.2699995</v>
      </c>
      <c r="Q107" s="40">
        <f t="shared" si="38"/>
        <v>8240.687993</v>
      </c>
      <c r="R107" s="49">
        <v>45783.0</v>
      </c>
      <c r="S107" s="49">
        <v>45869.0</v>
      </c>
      <c r="T107" s="39" t="s">
        <v>471</v>
      </c>
      <c r="U107" s="39" t="s">
        <v>472</v>
      </c>
      <c r="V107" s="47"/>
      <c r="W107" s="47"/>
      <c r="X107" s="45"/>
      <c r="Y107" s="44"/>
      <c r="Z107" s="44"/>
      <c r="AA107" s="44"/>
      <c r="AB107" s="44"/>
      <c r="AC107" s="44"/>
      <c r="AD107" s="44"/>
      <c r="AE107" s="44"/>
      <c r="AF107" s="44"/>
      <c r="AG107" s="44"/>
      <c r="AH107" s="44"/>
      <c r="AI107" s="44"/>
      <c r="AJ107" s="44"/>
      <c r="AK107" s="44"/>
      <c r="AL107" s="44"/>
    </row>
    <row r="108">
      <c r="A108" s="34" t="b">
        <v>0</v>
      </c>
      <c r="B108" s="46">
        <v>45677.0</v>
      </c>
      <c r="C108" s="39" t="s">
        <v>219</v>
      </c>
      <c r="D108" s="37" t="s">
        <v>473</v>
      </c>
      <c r="E108" s="37" t="s">
        <v>221</v>
      </c>
      <c r="F108" s="37" t="s">
        <v>222</v>
      </c>
      <c r="G108" s="38">
        <v>500000.0</v>
      </c>
      <c r="H108" s="39" t="s">
        <v>223</v>
      </c>
      <c r="I108" s="39">
        <v>5.0</v>
      </c>
      <c r="J108" s="38">
        <f t="shared" si="7"/>
        <v>25000</v>
      </c>
      <c r="K108" s="38">
        <f t="shared" si="2"/>
        <v>1250</v>
      </c>
      <c r="L108" s="39">
        <v>83.0</v>
      </c>
      <c r="M108" s="38">
        <f t="shared" si="13"/>
        <v>20750</v>
      </c>
      <c r="N108" s="38">
        <f>J108*0.05</f>
        <v>1250</v>
      </c>
      <c r="O108" s="38"/>
      <c r="P108" s="38"/>
      <c r="Q108" s="40">
        <f t="shared" si="38"/>
        <v>3000</v>
      </c>
      <c r="R108" s="49">
        <v>45777.0</v>
      </c>
      <c r="S108" s="49">
        <v>45787.0</v>
      </c>
      <c r="T108" s="47"/>
      <c r="U108" s="47"/>
      <c r="V108" s="47"/>
      <c r="W108" s="47"/>
      <c r="X108" s="45"/>
      <c r="Y108" s="53"/>
      <c r="Z108" s="53"/>
      <c r="AA108" s="53"/>
      <c r="AB108" s="53"/>
      <c r="AC108" s="53"/>
      <c r="AD108" s="53"/>
      <c r="AE108" s="53"/>
      <c r="AF108" s="53"/>
      <c r="AG108" s="53"/>
      <c r="AH108" s="53"/>
      <c r="AI108" s="53"/>
      <c r="AJ108" s="53"/>
      <c r="AK108" s="53"/>
      <c r="AL108" s="53"/>
    </row>
    <row r="109">
      <c r="A109" s="34" t="b">
        <v>0</v>
      </c>
      <c r="B109" s="46">
        <v>45677.0</v>
      </c>
      <c r="C109" s="39" t="s">
        <v>150</v>
      </c>
      <c r="D109" s="37" t="s">
        <v>474</v>
      </c>
      <c r="E109" s="37" t="s">
        <v>475</v>
      </c>
      <c r="F109" s="37"/>
      <c r="G109" s="38">
        <v>663625.0</v>
      </c>
      <c r="H109" s="39" t="s">
        <v>476</v>
      </c>
      <c r="I109" s="39">
        <v>5.0</v>
      </c>
      <c r="J109" s="38">
        <f t="shared" si="7"/>
        <v>33181.25</v>
      </c>
      <c r="K109" s="38">
        <f t="shared" si="2"/>
        <v>1659.0625</v>
      </c>
      <c r="L109" s="39">
        <v>50.0</v>
      </c>
      <c r="M109" s="38">
        <f t="shared" si="13"/>
        <v>16590.625</v>
      </c>
      <c r="N109" s="38"/>
      <c r="O109" s="38"/>
      <c r="P109" s="38"/>
      <c r="Q109" s="40">
        <f t="shared" si="38"/>
        <v>16590.625</v>
      </c>
      <c r="R109" s="49">
        <v>45790.0</v>
      </c>
      <c r="S109" s="49">
        <v>45800.0</v>
      </c>
      <c r="T109" s="47"/>
      <c r="U109" s="47"/>
      <c r="V109" s="47"/>
      <c r="W109" s="47"/>
      <c r="X109" s="45"/>
      <c r="Y109" s="44"/>
      <c r="Z109" s="44"/>
      <c r="AA109" s="44"/>
      <c r="AB109" s="44"/>
      <c r="AC109" s="44"/>
      <c r="AD109" s="44"/>
      <c r="AE109" s="44"/>
      <c r="AF109" s="44"/>
      <c r="AG109" s="44"/>
      <c r="AH109" s="44"/>
      <c r="AI109" s="44"/>
      <c r="AJ109" s="44"/>
      <c r="AK109" s="44"/>
      <c r="AL109" s="44"/>
    </row>
    <row r="110">
      <c r="A110" s="34" t="b">
        <v>0</v>
      </c>
      <c r="B110" s="46">
        <v>45679.0</v>
      </c>
      <c r="C110" s="39" t="s">
        <v>150</v>
      </c>
      <c r="D110" s="37" t="s">
        <v>477</v>
      </c>
      <c r="E110" s="37" t="s">
        <v>478</v>
      </c>
      <c r="F110" s="37" t="s">
        <v>104</v>
      </c>
      <c r="G110" s="38">
        <v>893000.0</v>
      </c>
      <c r="H110" s="39" t="s">
        <v>284</v>
      </c>
      <c r="I110" s="39">
        <v>5.0</v>
      </c>
      <c r="J110" s="38">
        <f t="shared" si="7"/>
        <v>44650</v>
      </c>
      <c r="K110" s="38">
        <f t="shared" si="2"/>
        <v>2232.5</v>
      </c>
      <c r="L110" s="39">
        <v>50.0</v>
      </c>
      <c r="M110" s="38">
        <f t="shared" si="13"/>
        <v>22325</v>
      </c>
      <c r="N110" s="38">
        <f>J110*0.33</f>
        <v>14734.5</v>
      </c>
      <c r="O110" s="38">
        <f>J110*0.005</f>
        <v>223.25</v>
      </c>
      <c r="P110" s="38">
        <f>J110*0.0075</f>
        <v>334.875</v>
      </c>
      <c r="Q110" s="40">
        <f t="shared" si="38"/>
        <v>7590.5</v>
      </c>
      <c r="R110" s="39"/>
      <c r="S110" s="49">
        <v>45728.0</v>
      </c>
      <c r="T110" s="39" t="s">
        <v>479</v>
      </c>
      <c r="U110" s="47"/>
      <c r="V110" s="47"/>
      <c r="W110" s="47"/>
      <c r="X110" s="45"/>
      <c r="Y110" s="44"/>
      <c r="Z110" s="44"/>
      <c r="AA110" s="44"/>
      <c r="AB110" s="44"/>
      <c r="AC110" s="44"/>
      <c r="AD110" s="44"/>
      <c r="AE110" s="44"/>
      <c r="AF110" s="44"/>
      <c r="AG110" s="44"/>
      <c r="AH110" s="44"/>
      <c r="AI110" s="44"/>
      <c r="AJ110" s="44"/>
      <c r="AK110" s="44"/>
      <c r="AL110" s="44"/>
    </row>
    <row r="111">
      <c r="A111" s="34" t="b">
        <v>0</v>
      </c>
      <c r="B111" s="46">
        <v>45679.0</v>
      </c>
      <c r="C111" s="39" t="s">
        <v>150</v>
      </c>
      <c r="D111" s="37" t="s">
        <v>480</v>
      </c>
      <c r="E111" s="37" t="s">
        <v>426</v>
      </c>
      <c r="F111" s="37" t="s">
        <v>481</v>
      </c>
      <c r="G111" s="38">
        <v>675900.0</v>
      </c>
      <c r="H111" s="39" t="s">
        <v>482</v>
      </c>
      <c r="I111" s="39">
        <v>5.0</v>
      </c>
      <c r="J111" s="38">
        <f t="shared" si="7"/>
        <v>33795</v>
      </c>
      <c r="K111" s="38">
        <f t="shared" si="2"/>
        <v>1689.75</v>
      </c>
      <c r="L111" s="39">
        <v>88.0</v>
      </c>
      <c r="M111" s="38">
        <f t="shared" si="13"/>
        <v>29739.6</v>
      </c>
      <c r="N111" s="38">
        <f t="shared" ref="N111:N113" si="46">J111*0.01</f>
        <v>337.95</v>
      </c>
      <c r="O111" s="38"/>
      <c r="P111" s="38">
        <f t="shared" ref="P111:P112" si="47">J111*0.0025</f>
        <v>84.4875</v>
      </c>
      <c r="Q111" s="40">
        <f t="shared" si="38"/>
        <v>3717.45</v>
      </c>
      <c r="R111" s="49">
        <v>45702.0</v>
      </c>
      <c r="S111" s="49">
        <v>45777.0</v>
      </c>
      <c r="T111" s="39" t="s">
        <v>483</v>
      </c>
      <c r="U111" s="47"/>
      <c r="V111" s="47"/>
      <c r="W111" s="47"/>
      <c r="X111" s="45"/>
      <c r="Y111" s="44"/>
      <c r="Z111" s="44"/>
      <c r="AA111" s="44"/>
      <c r="AB111" s="44"/>
      <c r="AC111" s="44"/>
      <c r="AD111" s="44"/>
      <c r="AE111" s="44"/>
      <c r="AF111" s="44"/>
      <c r="AG111" s="44"/>
      <c r="AH111" s="44"/>
      <c r="AI111" s="44"/>
      <c r="AJ111" s="44"/>
      <c r="AK111" s="44"/>
      <c r="AL111" s="44"/>
    </row>
    <row r="112">
      <c r="A112" s="34" t="b">
        <v>0</v>
      </c>
      <c r="B112" s="46">
        <v>45679.0</v>
      </c>
      <c r="C112" s="39" t="s">
        <v>150</v>
      </c>
      <c r="D112" s="37" t="s">
        <v>484</v>
      </c>
      <c r="E112" s="37" t="s">
        <v>426</v>
      </c>
      <c r="F112" s="37" t="s">
        <v>481</v>
      </c>
      <c r="G112" s="38">
        <v>675900.0</v>
      </c>
      <c r="H112" s="39" t="s">
        <v>482</v>
      </c>
      <c r="I112" s="39">
        <v>5.0</v>
      </c>
      <c r="J112" s="38">
        <f t="shared" si="7"/>
        <v>33795</v>
      </c>
      <c r="K112" s="38">
        <f t="shared" si="2"/>
        <v>1689.75</v>
      </c>
      <c r="L112" s="39">
        <v>88.0</v>
      </c>
      <c r="M112" s="38">
        <f t="shared" si="13"/>
        <v>29739.6</v>
      </c>
      <c r="N112" s="38">
        <f t="shared" si="46"/>
        <v>337.95</v>
      </c>
      <c r="O112" s="38"/>
      <c r="P112" s="38">
        <f t="shared" si="47"/>
        <v>84.4875</v>
      </c>
      <c r="Q112" s="40">
        <f t="shared" si="38"/>
        <v>3717.45</v>
      </c>
      <c r="R112" s="49">
        <v>45702.0</v>
      </c>
      <c r="S112" s="49">
        <v>45777.0</v>
      </c>
      <c r="T112" s="39" t="s">
        <v>483</v>
      </c>
      <c r="U112" s="47"/>
      <c r="V112" s="47"/>
      <c r="W112" s="47"/>
      <c r="X112" s="45"/>
      <c r="Y112" s="44"/>
      <c r="Z112" s="44"/>
      <c r="AA112" s="44"/>
      <c r="AB112" s="44"/>
      <c r="AC112" s="44"/>
      <c r="AD112" s="44"/>
      <c r="AE112" s="44"/>
      <c r="AF112" s="44"/>
      <c r="AG112" s="44"/>
      <c r="AH112" s="44"/>
      <c r="AI112" s="44"/>
      <c r="AJ112" s="44"/>
      <c r="AK112" s="44"/>
      <c r="AL112" s="44"/>
    </row>
    <row r="113">
      <c r="A113" s="34" t="b">
        <v>0</v>
      </c>
      <c r="B113" s="46">
        <v>45684.0</v>
      </c>
      <c r="C113" s="39" t="s">
        <v>150</v>
      </c>
      <c r="D113" s="37" t="s">
        <v>485</v>
      </c>
      <c r="E113" s="37" t="s">
        <v>237</v>
      </c>
      <c r="F113" s="37" t="s">
        <v>173</v>
      </c>
      <c r="G113" s="38">
        <v>617000.0</v>
      </c>
      <c r="H113" s="39" t="s">
        <v>486</v>
      </c>
      <c r="I113" s="39">
        <v>6.0</v>
      </c>
      <c r="J113" s="38">
        <f t="shared" si="7"/>
        <v>37020</v>
      </c>
      <c r="K113" s="38">
        <f t="shared" si="2"/>
        <v>1851</v>
      </c>
      <c r="L113" s="39">
        <v>88.0</v>
      </c>
      <c r="M113" s="38">
        <f t="shared" si="13"/>
        <v>32577.6</v>
      </c>
      <c r="N113" s="38">
        <f t="shared" si="46"/>
        <v>370.2</v>
      </c>
      <c r="O113" s="38">
        <f>J113*0.005</f>
        <v>185.1</v>
      </c>
      <c r="P113" s="38">
        <f>J113*0.0075</f>
        <v>277.65</v>
      </c>
      <c r="Q113" s="40">
        <f t="shared" si="38"/>
        <v>4072.2</v>
      </c>
      <c r="R113" s="49">
        <v>45716.0</v>
      </c>
      <c r="S113" s="49">
        <v>45736.0</v>
      </c>
      <c r="T113" s="39" t="s">
        <v>487</v>
      </c>
      <c r="U113" s="47"/>
      <c r="V113" s="47"/>
      <c r="W113" s="47"/>
      <c r="X113" s="45"/>
      <c r="Y113" s="44"/>
      <c r="Z113" s="44"/>
      <c r="AA113" s="44"/>
      <c r="AB113" s="44"/>
      <c r="AC113" s="44"/>
      <c r="AD113" s="44"/>
      <c r="AE113" s="44"/>
      <c r="AF113" s="44"/>
      <c r="AG113" s="44"/>
      <c r="AH113" s="44"/>
      <c r="AI113" s="44"/>
      <c r="AJ113" s="44"/>
      <c r="AK113" s="44"/>
      <c r="AL113" s="44"/>
    </row>
    <row r="114">
      <c r="A114" s="34" t="b">
        <v>0</v>
      </c>
      <c r="B114" s="46">
        <v>45688.0</v>
      </c>
      <c r="C114" s="39" t="s">
        <v>157</v>
      </c>
      <c r="D114" s="37" t="s">
        <v>488</v>
      </c>
      <c r="E114" s="37" t="s">
        <v>489</v>
      </c>
      <c r="F114" s="37" t="s">
        <v>490</v>
      </c>
      <c r="G114" s="38">
        <v>838592.0</v>
      </c>
      <c r="H114" s="39" t="s">
        <v>167</v>
      </c>
      <c r="I114" s="39">
        <v>7.0</v>
      </c>
      <c r="J114" s="38">
        <f t="shared" si="7"/>
        <v>58701.44</v>
      </c>
      <c r="K114" s="38">
        <f t="shared" si="2"/>
        <v>2935.072</v>
      </c>
      <c r="L114" s="39">
        <v>50.0</v>
      </c>
      <c r="M114" s="38">
        <f t="shared" si="13"/>
        <v>29350.72</v>
      </c>
      <c r="N114" s="38">
        <f>J114*0.31</f>
        <v>18197.4464</v>
      </c>
      <c r="O114" s="38"/>
      <c r="P114" s="38"/>
      <c r="Q114" s="40">
        <f t="shared" si="38"/>
        <v>11153.2736</v>
      </c>
      <c r="R114" s="49">
        <v>45721.0</v>
      </c>
      <c r="S114" s="49">
        <v>45744.0</v>
      </c>
      <c r="T114" s="39" t="s">
        <v>491</v>
      </c>
      <c r="U114" s="47"/>
      <c r="V114" s="47"/>
      <c r="W114" s="47"/>
      <c r="X114" s="45"/>
      <c r="Y114" s="44"/>
      <c r="Z114" s="44"/>
      <c r="AA114" s="44"/>
      <c r="AB114" s="44"/>
      <c r="AC114" s="44"/>
      <c r="AD114" s="44"/>
      <c r="AE114" s="44"/>
      <c r="AF114" s="44"/>
      <c r="AG114" s="44"/>
      <c r="AH114" s="44"/>
      <c r="AI114" s="44"/>
      <c r="AJ114" s="44"/>
      <c r="AK114" s="44"/>
      <c r="AL114" s="44"/>
    </row>
    <row r="115">
      <c r="A115" s="34" t="b">
        <v>0</v>
      </c>
      <c r="B115" s="46">
        <v>45692.0</v>
      </c>
      <c r="C115" s="39" t="s">
        <v>150</v>
      </c>
      <c r="D115" s="37" t="s">
        <v>492</v>
      </c>
      <c r="E115" s="37" t="s">
        <v>493</v>
      </c>
      <c r="F115" s="37" t="s">
        <v>375</v>
      </c>
      <c r="G115" s="38">
        <v>1050000.0</v>
      </c>
      <c r="H115" s="39" t="s">
        <v>223</v>
      </c>
      <c r="I115" s="39">
        <v>5.0</v>
      </c>
      <c r="J115" s="38">
        <f t="shared" si="7"/>
        <v>52500</v>
      </c>
      <c r="K115" s="38">
        <f t="shared" si="2"/>
        <v>2625</v>
      </c>
      <c r="L115" s="39">
        <v>88.0</v>
      </c>
      <c r="M115" s="38">
        <f t="shared" si="13"/>
        <v>46200</v>
      </c>
      <c r="N115" s="69">
        <f t="shared" ref="N115:N116" si="48">J115*0.022</f>
        <v>1155</v>
      </c>
      <c r="O115" s="69"/>
      <c r="P115" s="38">
        <f t="shared" ref="P115:P117" si="49">J115*0.0075</f>
        <v>393.75</v>
      </c>
      <c r="Q115" s="40">
        <f t="shared" si="38"/>
        <v>5145</v>
      </c>
      <c r="R115" s="49">
        <v>45726.0</v>
      </c>
      <c r="S115" s="49">
        <v>45757.0</v>
      </c>
      <c r="T115" s="39" t="s">
        <v>494</v>
      </c>
      <c r="U115" s="39" t="s">
        <v>495</v>
      </c>
      <c r="V115" s="47"/>
      <c r="W115" s="47"/>
      <c r="X115" s="45"/>
      <c r="Y115" s="44"/>
      <c r="Z115" s="44"/>
      <c r="AA115" s="44"/>
      <c r="AB115" s="44"/>
      <c r="AC115" s="44"/>
      <c r="AD115" s="44"/>
      <c r="AE115" s="44"/>
      <c r="AF115" s="44"/>
      <c r="AG115" s="44"/>
      <c r="AH115" s="44"/>
      <c r="AI115" s="44"/>
      <c r="AJ115" s="44"/>
      <c r="AK115" s="44"/>
      <c r="AL115" s="44"/>
    </row>
    <row r="116">
      <c r="A116" s="34" t="b">
        <v>0</v>
      </c>
      <c r="B116" s="46">
        <v>45694.0</v>
      </c>
      <c r="C116" s="39" t="s">
        <v>150</v>
      </c>
      <c r="D116" s="37" t="s">
        <v>496</v>
      </c>
      <c r="E116" s="37" t="s">
        <v>493</v>
      </c>
      <c r="F116" s="37" t="s">
        <v>375</v>
      </c>
      <c r="G116" s="38">
        <v>847390.0</v>
      </c>
      <c r="H116" s="39" t="s">
        <v>279</v>
      </c>
      <c r="I116" s="39">
        <v>6.0</v>
      </c>
      <c r="J116" s="38">
        <f t="shared" si="7"/>
        <v>50843.4</v>
      </c>
      <c r="K116" s="38">
        <f t="shared" si="2"/>
        <v>2542.17</v>
      </c>
      <c r="L116" s="39">
        <v>88.0</v>
      </c>
      <c r="M116" s="38">
        <f t="shared" si="13"/>
        <v>44742.192</v>
      </c>
      <c r="N116" s="69">
        <f t="shared" si="48"/>
        <v>1118.5548</v>
      </c>
      <c r="O116" s="69"/>
      <c r="P116" s="38">
        <f t="shared" si="49"/>
        <v>381.3255</v>
      </c>
      <c r="Q116" s="40">
        <f t="shared" si="38"/>
        <v>4982.6532</v>
      </c>
      <c r="R116" s="49">
        <v>45775.0</v>
      </c>
      <c r="S116" s="49">
        <v>45790.0</v>
      </c>
      <c r="T116" s="39" t="s">
        <v>497</v>
      </c>
      <c r="U116" s="39" t="s">
        <v>498</v>
      </c>
      <c r="V116" s="47"/>
      <c r="W116" s="47"/>
      <c r="X116" s="45"/>
      <c r="Y116" s="44"/>
      <c r="Z116" s="44"/>
      <c r="AA116" s="44"/>
      <c r="AB116" s="44"/>
      <c r="AC116" s="44"/>
      <c r="AD116" s="44"/>
      <c r="AE116" s="44"/>
      <c r="AF116" s="44"/>
      <c r="AG116" s="44"/>
      <c r="AH116" s="44"/>
      <c r="AI116" s="44"/>
      <c r="AJ116" s="44"/>
      <c r="AK116" s="44"/>
      <c r="AL116" s="44"/>
    </row>
    <row r="117">
      <c r="A117" s="34" t="b">
        <v>0</v>
      </c>
      <c r="B117" s="46">
        <v>45696.0</v>
      </c>
      <c r="C117" s="39" t="s">
        <v>150</v>
      </c>
      <c r="D117" s="37" t="s">
        <v>499</v>
      </c>
      <c r="E117" s="37" t="s">
        <v>203</v>
      </c>
      <c r="F117" s="37" t="s">
        <v>44</v>
      </c>
      <c r="G117" s="38">
        <v>4597000.0</v>
      </c>
      <c r="H117" s="39" t="s">
        <v>500</v>
      </c>
      <c r="I117" s="39">
        <v>4.0</v>
      </c>
      <c r="J117" s="38">
        <f t="shared" si="7"/>
        <v>183880</v>
      </c>
      <c r="K117" s="38">
        <f t="shared" si="2"/>
        <v>9194</v>
      </c>
      <c r="L117" s="39">
        <v>88.0</v>
      </c>
      <c r="M117" s="38">
        <f t="shared" si="13"/>
        <v>161814.4</v>
      </c>
      <c r="N117" s="69"/>
      <c r="O117" s="69"/>
      <c r="P117" s="38">
        <f t="shared" si="49"/>
        <v>1379.1</v>
      </c>
      <c r="Q117" s="40">
        <f t="shared" si="38"/>
        <v>22065.6</v>
      </c>
      <c r="R117" s="39"/>
      <c r="S117" s="49">
        <v>45810.0</v>
      </c>
      <c r="T117" s="39"/>
      <c r="U117" s="47"/>
      <c r="V117" s="47"/>
      <c r="W117" s="47"/>
      <c r="X117" s="45"/>
      <c r="Y117" s="44"/>
      <c r="Z117" s="44"/>
      <c r="AA117" s="44"/>
      <c r="AB117" s="44"/>
      <c r="AC117" s="44"/>
      <c r="AD117" s="44"/>
      <c r="AE117" s="44"/>
      <c r="AF117" s="44"/>
      <c r="AG117" s="44"/>
      <c r="AH117" s="44"/>
      <c r="AI117" s="44"/>
      <c r="AJ117" s="44"/>
      <c r="AK117" s="44"/>
      <c r="AL117" s="44"/>
    </row>
    <row r="118">
      <c r="A118" s="34" t="b">
        <v>0</v>
      </c>
      <c r="B118" s="46">
        <v>45698.0</v>
      </c>
      <c r="C118" s="39" t="s">
        <v>150</v>
      </c>
      <c r="D118" s="37" t="s">
        <v>501</v>
      </c>
      <c r="E118" s="37" t="s">
        <v>426</v>
      </c>
      <c r="F118" s="37" t="s">
        <v>481</v>
      </c>
      <c r="G118" s="38">
        <v>978405.0</v>
      </c>
      <c r="H118" s="39" t="s">
        <v>482</v>
      </c>
      <c r="I118" s="39">
        <v>4.0</v>
      </c>
      <c r="J118" s="38">
        <f t="shared" si="7"/>
        <v>39136.2</v>
      </c>
      <c r="K118" s="38">
        <f t="shared" si="2"/>
        <v>1956.81</v>
      </c>
      <c r="L118" s="39">
        <v>88.0</v>
      </c>
      <c r="M118" s="38">
        <f t="shared" si="13"/>
        <v>34439.856</v>
      </c>
      <c r="N118" s="69">
        <f>J118*0.01</f>
        <v>391.362</v>
      </c>
      <c r="O118" s="69"/>
      <c r="P118" s="38">
        <f>J118*0.0025</f>
        <v>97.8405</v>
      </c>
      <c r="Q118" s="40">
        <f t="shared" si="38"/>
        <v>4304.982</v>
      </c>
      <c r="R118" s="49">
        <v>45702.0</v>
      </c>
      <c r="S118" s="49">
        <v>45777.0</v>
      </c>
      <c r="T118" s="39" t="s">
        <v>502</v>
      </c>
      <c r="U118" s="47"/>
      <c r="V118" s="47"/>
      <c r="W118" s="47"/>
      <c r="X118" s="45"/>
      <c r="Y118" s="44"/>
      <c r="Z118" s="44"/>
      <c r="AA118" s="44"/>
      <c r="AB118" s="44"/>
      <c r="AC118" s="44"/>
      <c r="AD118" s="44"/>
      <c r="AE118" s="44"/>
      <c r="AF118" s="44"/>
      <c r="AG118" s="44"/>
      <c r="AH118" s="44"/>
      <c r="AI118" s="44"/>
      <c r="AJ118" s="44"/>
      <c r="AK118" s="44"/>
      <c r="AL118" s="44"/>
    </row>
    <row r="119">
      <c r="A119" s="34" t="b">
        <v>0</v>
      </c>
      <c r="B119" s="46">
        <v>45698.0</v>
      </c>
      <c r="C119" s="39" t="s">
        <v>150</v>
      </c>
      <c r="D119" s="37" t="s">
        <v>503</v>
      </c>
      <c r="E119" s="37" t="s">
        <v>493</v>
      </c>
      <c r="F119" s="37" t="s">
        <v>375</v>
      </c>
      <c r="G119" s="38">
        <v>715869.0</v>
      </c>
      <c r="H119" s="39" t="s">
        <v>230</v>
      </c>
      <c r="I119" s="39">
        <v>5.0</v>
      </c>
      <c r="J119" s="38">
        <f t="shared" si="7"/>
        <v>35793.45</v>
      </c>
      <c r="K119" s="38">
        <f t="shared" si="2"/>
        <v>1789.6725</v>
      </c>
      <c r="L119" s="39">
        <v>88.0</v>
      </c>
      <c r="M119" s="38">
        <f t="shared" si="13"/>
        <v>31498.236</v>
      </c>
      <c r="N119" s="69">
        <f>J119*0.022</f>
        <v>787.4559</v>
      </c>
      <c r="O119" s="69"/>
      <c r="P119" s="38">
        <f>J119*0.0075</f>
        <v>268.450875</v>
      </c>
      <c r="Q119" s="40">
        <f t="shared" si="38"/>
        <v>3507.7581</v>
      </c>
      <c r="R119" s="49">
        <v>45702.0</v>
      </c>
      <c r="S119" s="39"/>
      <c r="T119" s="39" t="s">
        <v>502</v>
      </c>
      <c r="U119" s="39" t="s">
        <v>504</v>
      </c>
      <c r="V119" s="47"/>
      <c r="W119" s="47"/>
      <c r="X119" s="45"/>
      <c r="Y119" s="44"/>
      <c r="Z119" s="44"/>
      <c r="AA119" s="44"/>
      <c r="AB119" s="44"/>
      <c r="AC119" s="44"/>
      <c r="AD119" s="44"/>
      <c r="AE119" s="44"/>
      <c r="AF119" s="44"/>
      <c r="AG119" s="44"/>
      <c r="AH119" s="44"/>
      <c r="AI119" s="44"/>
      <c r="AJ119" s="44"/>
      <c r="AK119" s="44"/>
      <c r="AL119" s="44"/>
    </row>
    <row r="120">
      <c r="A120" s="92" t="b">
        <v>0</v>
      </c>
      <c r="B120" s="46">
        <v>45699.0</v>
      </c>
      <c r="C120" s="39" t="s">
        <v>150</v>
      </c>
      <c r="D120" s="37" t="s">
        <v>505</v>
      </c>
      <c r="E120" s="37" t="s">
        <v>426</v>
      </c>
      <c r="F120" s="37" t="s">
        <v>481</v>
      </c>
      <c r="G120" s="38">
        <v>1337427.0</v>
      </c>
      <c r="H120" s="39" t="s">
        <v>506</v>
      </c>
      <c r="I120" s="39">
        <v>6.0</v>
      </c>
      <c r="J120" s="38">
        <f t="shared" si="7"/>
        <v>80245.62</v>
      </c>
      <c r="K120" s="38">
        <f t="shared" si="2"/>
        <v>4012.281</v>
      </c>
      <c r="L120" s="39">
        <v>88.0</v>
      </c>
      <c r="M120" s="38">
        <f t="shared" si="13"/>
        <v>70616.1456</v>
      </c>
      <c r="N120" s="69">
        <f>J120*0.01</f>
        <v>802.4562</v>
      </c>
      <c r="O120" s="69"/>
      <c r="P120" s="38">
        <f>J120*0.0025</f>
        <v>200.61405</v>
      </c>
      <c r="Q120" s="40">
        <f t="shared" si="38"/>
        <v>8827.0182</v>
      </c>
      <c r="R120" s="39"/>
      <c r="S120" s="49">
        <v>45743.0</v>
      </c>
      <c r="T120" s="39" t="s">
        <v>507</v>
      </c>
      <c r="U120" s="47"/>
      <c r="V120" s="47"/>
      <c r="W120" s="47"/>
      <c r="X120" s="45"/>
      <c r="Y120" s="44"/>
      <c r="Z120" s="44"/>
      <c r="AA120" s="44"/>
      <c r="AB120" s="44"/>
      <c r="AC120" s="44"/>
      <c r="AD120" s="44"/>
      <c r="AE120" s="44"/>
      <c r="AF120" s="44"/>
      <c r="AG120" s="44"/>
      <c r="AH120" s="44"/>
      <c r="AI120" s="44"/>
      <c r="AJ120" s="44"/>
      <c r="AK120" s="44"/>
      <c r="AL120" s="44"/>
    </row>
    <row r="121">
      <c r="A121" s="92" t="b">
        <v>0</v>
      </c>
      <c r="B121" s="46">
        <v>45700.0</v>
      </c>
      <c r="C121" s="39" t="s">
        <v>157</v>
      </c>
      <c r="D121" s="37" t="s">
        <v>508</v>
      </c>
      <c r="E121" s="37" t="s">
        <v>401</v>
      </c>
      <c r="F121" s="37" t="s">
        <v>157</v>
      </c>
      <c r="G121" s="38">
        <v>1.9603397E7</v>
      </c>
      <c r="H121" s="39" t="s">
        <v>185</v>
      </c>
      <c r="I121" s="39">
        <v>4.0</v>
      </c>
      <c r="J121" s="38">
        <f t="shared" si="7"/>
        <v>784135.88</v>
      </c>
      <c r="K121" s="38">
        <f t="shared" si="2"/>
        <v>39206.794</v>
      </c>
      <c r="L121" s="39">
        <v>90.0</v>
      </c>
      <c r="M121" s="38">
        <f t="shared" si="13"/>
        <v>705722.292</v>
      </c>
      <c r="N121" s="38"/>
      <c r="O121" s="38">
        <f>J121*0.005</f>
        <v>3920.6794</v>
      </c>
      <c r="P121" s="38"/>
      <c r="Q121" s="40">
        <f t="shared" si="38"/>
        <v>78413.588</v>
      </c>
      <c r="R121" s="49">
        <v>45717.0</v>
      </c>
      <c r="S121" s="49">
        <v>45734.0</v>
      </c>
      <c r="T121" s="39" t="s">
        <v>509</v>
      </c>
      <c r="U121" s="47"/>
      <c r="V121" s="47"/>
      <c r="W121" s="47"/>
      <c r="X121" s="45"/>
      <c r="Y121" s="44"/>
      <c r="Z121" s="44"/>
      <c r="AA121" s="44"/>
      <c r="AB121" s="44"/>
      <c r="AC121" s="44"/>
      <c r="AD121" s="44"/>
      <c r="AE121" s="44"/>
      <c r="AF121" s="44"/>
      <c r="AG121" s="44"/>
      <c r="AH121" s="44"/>
      <c r="AI121" s="44"/>
      <c r="AJ121" s="44"/>
      <c r="AK121" s="44"/>
      <c r="AL121" s="44"/>
    </row>
    <row r="122">
      <c r="A122" s="92" t="b">
        <v>0</v>
      </c>
      <c r="B122" s="46">
        <v>45702.0</v>
      </c>
      <c r="C122" s="39" t="s">
        <v>150</v>
      </c>
      <c r="D122" s="37" t="s">
        <v>510</v>
      </c>
      <c r="E122" s="37" t="s">
        <v>295</v>
      </c>
      <c r="F122" s="37" t="s">
        <v>44</v>
      </c>
      <c r="G122" s="38">
        <v>2273340.0</v>
      </c>
      <c r="H122" s="39" t="s">
        <v>257</v>
      </c>
      <c r="I122" s="39">
        <v>7.0</v>
      </c>
      <c r="J122" s="38">
        <f t="shared" si="7"/>
        <v>159133.8</v>
      </c>
      <c r="K122" s="38">
        <f t="shared" si="2"/>
        <v>7956.69</v>
      </c>
      <c r="L122" s="39">
        <v>88.0</v>
      </c>
      <c r="M122" s="38">
        <f t="shared" si="13"/>
        <v>140037.744</v>
      </c>
      <c r="N122" s="38"/>
      <c r="O122" s="38"/>
      <c r="P122" s="38">
        <f>J122*0.0075</f>
        <v>1193.5035</v>
      </c>
      <c r="Q122" s="40">
        <f t="shared" si="38"/>
        <v>19096.056</v>
      </c>
      <c r="R122" s="39"/>
      <c r="S122" s="49">
        <v>45717.0</v>
      </c>
      <c r="T122" s="39" t="s">
        <v>511</v>
      </c>
      <c r="U122" s="47"/>
      <c r="V122" s="47"/>
      <c r="W122" s="47"/>
      <c r="X122" s="45"/>
      <c r="Y122" s="44"/>
      <c r="Z122" s="44"/>
      <c r="AA122" s="44"/>
      <c r="AB122" s="44"/>
      <c r="AC122" s="44"/>
      <c r="AD122" s="44"/>
      <c r="AE122" s="44"/>
      <c r="AF122" s="44"/>
      <c r="AG122" s="44"/>
      <c r="AH122" s="44"/>
      <c r="AI122" s="44"/>
      <c r="AJ122" s="44"/>
      <c r="AK122" s="44"/>
      <c r="AL122" s="44"/>
    </row>
    <row r="123">
      <c r="A123" s="92" t="b">
        <v>0</v>
      </c>
      <c r="B123" s="46">
        <v>45707.0</v>
      </c>
      <c r="C123" s="39" t="s">
        <v>219</v>
      </c>
      <c r="D123" s="37" t="s">
        <v>512</v>
      </c>
      <c r="E123" s="37" t="s">
        <v>513</v>
      </c>
      <c r="F123" s="37" t="s">
        <v>514</v>
      </c>
      <c r="G123" s="38">
        <v>681592.2</v>
      </c>
      <c r="H123" s="39" t="s">
        <v>515</v>
      </c>
      <c r="I123" s="39">
        <v>5.0</v>
      </c>
      <c r="J123" s="38">
        <f t="shared" si="7"/>
        <v>34079.61</v>
      </c>
      <c r="K123" s="38">
        <f t="shared" si="2"/>
        <v>1703.9805</v>
      </c>
      <c r="L123" s="39">
        <v>50.0</v>
      </c>
      <c r="M123" s="38">
        <f t="shared" si="13"/>
        <v>17039.805</v>
      </c>
      <c r="N123" s="38">
        <f>J123*0.05</f>
        <v>1703.9805</v>
      </c>
      <c r="O123" s="38"/>
      <c r="P123" s="38"/>
      <c r="Q123" s="40">
        <f t="shared" si="38"/>
        <v>15335.8245</v>
      </c>
      <c r="R123" s="49">
        <v>45740.0</v>
      </c>
      <c r="S123" s="49">
        <v>45764.0</v>
      </c>
      <c r="T123" s="39" t="s">
        <v>516</v>
      </c>
      <c r="U123" s="47"/>
      <c r="V123" s="47"/>
      <c r="W123" s="39" t="s">
        <v>155</v>
      </c>
      <c r="X123" s="45"/>
      <c r="Y123" s="44"/>
      <c r="Z123" s="44"/>
      <c r="AA123" s="44"/>
      <c r="AB123" s="44"/>
      <c r="AC123" s="44"/>
      <c r="AD123" s="44"/>
      <c r="AE123" s="44"/>
      <c r="AF123" s="44"/>
      <c r="AG123" s="44"/>
      <c r="AH123" s="44"/>
      <c r="AI123" s="44"/>
      <c r="AJ123" s="44"/>
      <c r="AK123" s="44"/>
      <c r="AL123" s="44"/>
    </row>
    <row r="124">
      <c r="A124" s="92" t="b">
        <v>0</v>
      </c>
      <c r="B124" s="46">
        <v>45714.0</v>
      </c>
      <c r="C124" s="39" t="s">
        <v>219</v>
      </c>
      <c r="D124" s="37" t="s">
        <v>517</v>
      </c>
      <c r="E124" s="37" t="s">
        <v>184</v>
      </c>
      <c r="F124" s="37"/>
      <c r="G124" s="38">
        <v>3584000.0</v>
      </c>
      <c r="H124" s="39" t="s">
        <v>518</v>
      </c>
      <c r="I124" s="39">
        <v>3.0</v>
      </c>
      <c r="J124" s="38">
        <f t="shared" si="7"/>
        <v>107520</v>
      </c>
      <c r="K124" s="38">
        <f t="shared" si="2"/>
        <v>5376</v>
      </c>
      <c r="L124" s="39">
        <v>88.0</v>
      </c>
      <c r="M124" s="38">
        <f t="shared" si="13"/>
        <v>94617.6</v>
      </c>
      <c r="N124" s="38"/>
      <c r="O124" s="38"/>
      <c r="P124" s="38"/>
      <c r="Q124" s="40">
        <f t="shared" si="38"/>
        <v>12902.4</v>
      </c>
      <c r="R124" s="49">
        <v>45818.0</v>
      </c>
      <c r="S124" s="49">
        <v>45833.0</v>
      </c>
      <c r="T124" s="47"/>
      <c r="U124" s="47"/>
      <c r="V124" s="47"/>
      <c r="W124" s="47"/>
      <c r="X124" s="45"/>
      <c r="Y124" s="44"/>
      <c r="Z124" s="44"/>
      <c r="AA124" s="44"/>
      <c r="AB124" s="44"/>
      <c r="AC124" s="44"/>
      <c r="AD124" s="44"/>
      <c r="AE124" s="44"/>
      <c r="AF124" s="44"/>
      <c r="AG124" s="44"/>
      <c r="AH124" s="44"/>
      <c r="AI124" s="44"/>
      <c r="AJ124" s="44"/>
      <c r="AK124" s="44"/>
      <c r="AL124" s="44"/>
    </row>
    <row r="125">
      <c r="A125" s="92" t="b">
        <v>0</v>
      </c>
      <c r="B125" s="46">
        <v>45714.0</v>
      </c>
      <c r="C125" s="39" t="s">
        <v>150</v>
      </c>
      <c r="D125" s="37" t="s">
        <v>519</v>
      </c>
      <c r="E125" s="37" t="s">
        <v>520</v>
      </c>
      <c r="F125" s="37" t="s">
        <v>521</v>
      </c>
      <c r="G125" s="38">
        <v>700000.0</v>
      </c>
      <c r="H125" s="39" t="s">
        <v>522</v>
      </c>
      <c r="I125" s="39">
        <v>2.0</v>
      </c>
      <c r="J125" s="38">
        <f t="shared" si="7"/>
        <v>14000</v>
      </c>
      <c r="K125" s="38">
        <f t="shared" si="2"/>
        <v>700</v>
      </c>
      <c r="L125" s="39">
        <v>88.0</v>
      </c>
      <c r="M125" s="38">
        <f t="shared" si="13"/>
        <v>12320</v>
      </c>
      <c r="N125" s="38">
        <f t="shared" ref="N125:N128" si="50">J125*0.01</f>
        <v>140</v>
      </c>
      <c r="O125" s="38">
        <f t="shared" ref="O125:O128" si="51">J125*0.005</f>
        <v>70</v>
      </c>
      <c r="P125" s="38">
        <f t="shared" ref="P125:P128" si="52">J125*0.0075</f>
        <v>105</v>
      </c>
      <c r="Q125" s="40">
        <f t="shared" si="38"/>
        <v>1540</v>
      </c>
      <c r="R125" s="49">
        <v>45775.0</v>
      </c>
      <c r="S125" s="49">
        <v>45783.0</v>
      </c>
      <c r="T125" s="47"/>
      <c r="U125" s="47"/>
      <c r="V125" s="47"/>
      <c r="W125" s="47"/>
      <c r="X125" s="45"/>
      <c r="Y125" s="44"/>
      <c r="Z125" s="44"/>
      <c r="AA125" s="44"/>
      <c r="AB125" s="44"/>
      <c r="AC125" s="44"/>
      <c r="AD125" s="44"/>
      <c r="AE125" s="44"/>
      <c r="AF125" s="44"/>
      <c r="AG125" s="44"/>
      <c r="AH125" s="44"/>
      <c r="AI125" s="44"/>
      <c r="AJ125" s="44"/>
      <c r="AK125" s="44"/>
      <c r="AL125" s="44"/>
    </row>
    <row r="126">
      <c r="A126" s="92" t="b">
        <v>0</v>
      </c>
      <c r="B126" s="46">
        <v>45714.0</v>
      </c>
      <c r="C126" s="39" t="s">
        <v>150</v>
      </c>
      <c r="D126" s="37" t="s">
        <v>523</v>
      </c>
      <c r="E126" s="37" t="s">
        <v>520</v>
      </c>
      <c r="F126" s="37" t="s">
        <v>521</v>
      </c>
      <c r="G126" s="38">
        <v>700000.0</v>
      </c>
      <c r="H126" s="39" t="s">
        <v>522</v>
      </c>
      <c r="I126" s="39">
        <v>5.0</v>
      </c>
      <c r="J126" s="38">
        <f t="shared" si="7"/>
        <v>35000</v>
      </c>
      <c r="K126" s="38">
        <f t="shared" si="2"/>
        <v>1750</v>
      </c>
      <c r="L126" s="39">
        <v>88.0</v>
      </c>
      <c r="M126" s="38">
        <f t="shared" si="13"/>
        <v>30800</v>
      </c>
      <c r="N126" s="38">
        <f t="shared" si="50"/>
        <v>350</v>
      </c>
      <c r="O126" s="38">
        <f t="shared" si="51"/>
        <v>175</v>
      </c>
      <c r="P126" s="38">
        <f t="shared" si="52"/>
        <v>262.5</v>
      </c>
      <c r="Q126" s="40">
        <f t="shared" si="38"/>
        <v>3850</v>
      </c>
      <c r="R126" s="49">
        <v>45765.0</v>
      </c>
      <c r="S126" s="49">
        <v>45771.0</v>
      </c>
      <c r="T126" s="39" t="s">
        <v>524</v>
      </c>
      <c r="U126" s="47"/>
      <c r="V126" s="47"/>
      <c r="W126" s="47"/>
      <c r="X126" s="45"/>
      <c r="Y126" s="44"/>
      <c r="Z126" s="44"/>
      <c r="AA126" s="44"/>
      <c r="AB126" s="44"/>
      <c r="AC126" s="44"/>
      <c r="AD126" s="44"/>
      <c r="AE126" s="44"/>
      <c r="AF126" s="44"/>
      <c r="AG126" s="44"/>
      <c r="AH126" s="44"/>
      <c r="AI126" s="44"/>
      <c r="AJ126" s="44"/>
      <c r="AK126" s="44"/>
      <c r="AL126" s="44"/>
    </row>
    <row r="127">
      <c r="A127" s="92" t="b">
        <v>0</v>
      </c>
      <c r="B127" s="46">
        <v>45714.0</v>
      </c>
      <c r="C127" s="39" t="s">
        <v>150</v>
      </c>
      <c r="D127" s="37" t="s">
        <v>523</v>
      </c>
      <c r="E127" s="37" t="s">
        <v>520</v>
      </c>
      <c r="F127" s="37" t="s">
        <v>521</v>
      </c>
      <c r="G127" s="38">
        <v>700000.0</v>
      </c>
      <c r="H127" s="39" t="s">
        <v>522</v>
      </c>
      <c r="I127" s="39">
        <v>5.0</v>
      </c>
      <c r="J127" s="38">
        <f t="shared" si="7"/>
        <v>35000</v>
      </c>
      <c r="K127" s="38">
        <f t="shared" si="2"/>
        <v>1750</v>
      </c>
      <c r="L127" s="39">
        <v>88.0</v>
      </c>
      <c r="M127" s="38">
        <f t="shared" si="13"/>
        <v>30800</v>
      </c>
      <c r="N127" s="38">
        <f t="shared" si="50"/>
        <v>350</v>
      </c>
      <c r="O127" s="38">
        <f t="shared" si="51"/>
        <v>175</v>
      </c>
      <c r="P127" s="38">
        <f t="shared" si="52"/>
        <v>262.5</v>
      </c>
      <c r="Q127" s="40">
        <f t="shared" si="38"/>
        <v>3850</v>
      </c>
      <c r="R127" s="49">
        <v>45765.0</v>
      </c>
      <c r="S127" s="49">
        <v>45771.0</v>
      </c>
      <c r="T127" s="39" t="s">
        <v>524</v>
      </c>
      <c r="U127" s="47"/>
      <c r="V127" s="47"/>
      <c r="W127" s="47"/>
      <c r="X127" s="45"/>
      <c r="Y127" s="44"/>
      <c r="Z127" s="44"/>
      <c r="AA127" s="44"/>
      <c r="AB127" s="44"/>
      <c r="AC127" s="44"/>
      <c r="AD127" s="44"/>
      <c r="AE127" s="44"/>
      <c r="AF127" s="44"/>
      <c r="AG127" s="44"/>
      <c r="AH127" s="44"/>
      <c r="AI127" s="44"/>
      <c r="AJ127" s="44"/>
      <c r="AK127" s="44"/>
      <c r="AL127" s="44"/>
    </row>
    <row r="128">
      <c r="A128" s="92" t="b">
        <v>0</v>
      </c>
      <c r="B128" s="46">
        <v>45714.0</v>
      </c>
      <c r="C128" s="39" t="s">
        <v>150</v>
      </c>
      <c r="D128" s="37" t="s">
        <v>519</v>
      </c>
      <c r="E128" s="37" t="s">
        <v>520</v>
      </c>
      <c r="F128" s="37" t="s">
        <v>521</v>
      </c>
      <c r="G128" s="38">
        <v>700000.0</v>
      </c>
      <c r="H128" s="39" t="s">
        <v>522</v>
      </c>
      <c r="I128" s="39">
        <v>5.0</v>
      </c>
      <c r="J128" s="38">
        <f t="shared" si="7"/>
        <v>35000</v>
      </c>
      <c r="K128" s="38">
        <f t="shared" si="2"/>
        <v>1750</v>
      </c>
      <c r="L128" s="39">
        <v>88.0</v>
      </c>
      <c r="M128" s="38">
        <f t="shared" si="13"/>
        <v>30800</v>
      </c>
      <c r="N128" s="38">
        <f t="shared" si="50"/>
        <v>350</v>
      </c>
      <c r="O128" s="38">
        <f t="shared" si="51"/>
        <v>175</v>
      </c>
      <c r="P128" s="38">
        <f t="shared" si="52"/>
        <v>262.5</v>
      </c>
      <c r="Q128" s="40">
        <f t="shared" si="38"/>
        <v>3850</v>
      </c>
      <c r="R128" s="49">
        <v>45775.0</v>
      </c>
      <c r="S128" s="49">
        <v>45784.0</v>
      </c>
      <c r="T128" s="47"/>
      <c r="U128" s="47"/>
      <c r="V128" s="47"/>
      <c r="W128" s="47"/>
      <c r="X128" s="45"/>
      <c r="Y128" s="53"/>
      <c r="Z128" s="53"/>
      <c r="AA128" s="53"/>
      <c r="AB128" s="53"/>
      <c r="AC128" s="53"/>
      <c r="AD128" s="53"/>
      <c r="AE128" s="53"/>
      <c r="AF128" s="53"/>
      <c r="AG128" s="53"/>
      <c r="AH128" s="53"/>
      <c r="AI128" s="53"/>
      <c r="AJ128" s="53"/>
      <c r="AK128" s="53"/>
      <c r="AL128" s="53"/>
    </row>
    <row r="129">
      <c r="A129" s="92" t="b">
        <v>0</v>
      </c>
      <c r="B129" s="46">
        <v>45715.0</v>
      </c>
      <c r="C129" s="39" t="s">
        <v>219</v>
      </c>
      <c r="D129" s="37" t="s">
        <v>525</v>
      </c>
      <c r="E129" s="37" t="s">
        <v>513</v>
      </c>
      <c r="F129" s="37" t="s">
        <v>514</v>
      </c>
      <c r="G129" s="38">
        <v>754785.44</v>
      </c>
      <c r="H129" s="39" t="s">
        <v>515</v>
      </c>
      <c r="I129" s="39">
        <v>5.0</v>
      </c>
      <c r="J129" s="38">
        <f t="shared" si="7"/>
        <v>37739.272</v>
      </c>
      <c r="K129" s="38">
        <f t="shared" si="2"/>
        <v>1886.9636</v>
      </c>
      <c r="L129" s="39">
        <v>80.0</v>
      </c>
      <c r="M129" s="38">
        <f t="shared" si="13"/>
        <v>30191.4176</v>
      </c>
      <c r="N129" s="38">
        <f>J129*0.05</f>
        <v>1886.9636</v>
      </c>
      <c r="O129" s="38"/>
      <c r="P129" s="38"/>
      <c r="Q129" s="40">
        <f t="shared" si="38"/>
        <v>5660.8908</v>
      </c>
      <c r="R129" s="49">
        <v>45744.0</v>
      </c>
      <c r="S129" s="49">
        <v>45778.0</v>
      </c>
      <c r="T129" s="39" t="s">
        <v>526</v>
      </c>
      <c r="U129" s="47"/>
      <c r="V129" s="47"/>
      <c r="W129" s="47"/>
      <c r="X129" s="45"/>
      <c r="Y129" s="44"/>
      <c r="Z129" s="44"/>
      <c r="AA129" s="44"/>
      <c r="AB129" s="44"/>
      <c r="AC129" s="44"/>
      <c r="AD129" s="44"/>
      <c r="AE129" s="44"/>
      <c r="AF129" s="44"/>
      <c r="AG129" s="44"/>
      <c r="AH129" s="44"/>
      <c r="AI129" s="44"/>
      <c r="AJ129" s="44"/>
      <c r="AK129" s="44"/>
      <c r="AL129" s="44"/>
    </row>
    <row r="130">
      <c r="A130" s="92" t="b">
        <v>0</v>
      </c>
      <c r="B130" s="46">
        <v>45715.0</v>
      </c>
      <c r="C130" s="39" t="s">
        <v>157</v>
      </c>
      <c r="D130" s="37" t="s">
        <v>527</v>
      </c>
      <c r="E130" s="37" t="s">
        <v>528</v>
      </c>
      <c r="F130" s="37" t="s">
        <v>529</v>
      </c>
      <c r="G130" s="38">
        <v>1032731.0</v>
      </c>
      <c r="H130" s="39" t="s">
        <v>198</v>
      </c>
      <c r="I130" s="39">
        <v>7.0</v>
      </c>
      <c r="J130" s="38">
        <f t="shared" si="7"/>
        <v>72291.17</v>
      </c>
      <c r="K130" s="38">
        <f t="shared" si="2"/>
        <v>3614.5585</v>
      </c>
      <c r="L130" s="39">
        <v>50.0</v>
      </c>
      <c r="M130" s="38">
        <f t="shared" si="13"/>
        <v>36145.585</v>
      </c>
      <c r="N130" s="38">
        <f>J130*0.3</f>
        <v>21687.351</v>
      </c>
      <c r="O130" s="38"/>
      <c r="P130" s="38"/>
      <c r="Q130" s="40">
        <f t="shared" si="38"/>
        <v>14458.234</v>
      </c>
      <c r="R130" s="49">
        <v>45727.0</v>
      </c>
      <c r="S130" s="49">
        <v>45846.0</v>
      </c>
      <c r="T130" s="39" t="s">
        <v>530</v>
      </c>
      <c r="U130" s="47"/>
      <c r="V130" s="47"/>
      <c r="W130" s="47"/>
      <c r="X130" s="45"/>
      <c r="Y130" s="44"/>
      <c r="Z130" s="44"/>
      <c r="AA130" s="44"/>
      <c r="AB130" s="44"/>
      <c r="AC130" s="44"/>
      <c r="AD130" s="44"/>
      <c r="AE130" s="44"/>
      <c r="AF130" s="44"/>
      <c r="AG130" s="44"/>
      <c r="AH130" s="44"/>
      <c r="AI130" s="44"/>
      <c r="AJ130" s="44"/>
      <c r="AK130" s="44"/>
      <c r="AL130" s="44"/>
    </row>
    <row r="131">
      <c r="A131" s="92" t="b">
        <v>0</v>
      </c>
      <c r="B131" s="46">
        <v>45717.0</v>
      </c>
      <c r="C131" s="39" t="s">
        <v>150</v>
      </c>
      <c r="D131" s="37" t="s">
        <v>354</v>
      </c>
      <c r="E131" s="37" t="s">
        <v>355</v>
      </c>
      <c r="F131" s="37" t="s">
        <v>333</v>
      </c>
      <c r="G131" s="38">
        <v>848585.0</v>
      </c>
      <c r="H131" s="39" t="s">
        <v>234</v>
      </c>
      <c r="I131" s="39">
        <v>6.0</v>
      </c>
      <c r="J131" s="38">
        <f t="shared" si="7"/>
        <v>50915.1</v>
      </c>
      <c r="K131" s="38">
        <f t="shared" si="2"/>
        <v>2545.755</v>
      </c>
      <c r="L131" s="39">
        <v>88.0</v>
      </c>
      <c r="M131" s="38">
        <f t="shared" si="13"/>
        <v>44805.288</v>
      </c>
      <c r="N131" s="38">
        <f t="shared" ref="N131:N135" si="53">J131*0.01</f>
        <v>509.151</v>
      </c>
      <c r="O131" s="38"/>
      <c r="P131" s="38">
        <f t="shared" ref="P131:P132" si="54">J131*0.0075</f>
        <v>381.86325</v>
      </c>
      <c r="Q131" s="40">
        <f t="shared" si="38"/>
        <v>5600.661</v>
      </c>
      <c r="R131" s="49">
        <v>45729.0</v>
      </c>
      <c r="S131" s="49">
        <v>45797.0</v>
      </c>
      <c r="T131" s="39" t="s">
        <v>531</v>
      </c>
      <c r="U131" s="47"/>
      <c r="V131" s="47"/>
      <c r="W131" s="47"/>
      <c r="X131" s="45"/>
      <c r="Y131" s="44"/>
      <c r="Z131" s="44"/>
      <c r="AA131" s="44"/>
      <c r="AB131" s="44"/>
      <c r="AC131" s="44"/>
      <c r="AD131" s="44"/>
      <c r="AE131" s="44"/>
      <c r="AF131" s="44"/>
      <c r="AG131" s="44"/>
      <c r="AH131" s="44"/>
      <c r="AI131" s="44"/>
      <c r="AJ131" s="44"/>
      <c r="AK131" s="44"/>
      <c r="AL131" s="44"/>
    </row>
    <row r="132">
      <c r="A132" s="92" t="b">
        <v>0</v>
      </c>
      <c r="B132" s="46">
        <v>45719.0</v>
      </c>
      <c r="C132" s="39" t="s">
        <v>150</v>
      </c>
      <c r="D132" s="37" t="s">
        <v>532</v>
      </c>
      <c r="E132" s="37" t="s">
        <v>533</v>
      </c>
      <c r="F132" s="37" t="s">
        <v>222</v>
      </c>
      <c r="G132" s="38">
        <v>2640500.0</v>
      </c>
      <c r="H132" s="39" t="s">
        <v>506</v>
      </c>
      <c r="I132" s="39">
        <v>6.0</v>
      </c>
      <c r="J132" s="38">
        <f t="shared" si="7"/>
        <v>158430</v>
      </c>
      <c r="K132" s="38">
        <f t="shared" si="2"/>
        <v>7921.5</v>
      </c>
      <c r="L132" s="39">
        <v>88.0</v>
      </c>
      <c r="M132" s="38">
        <f t="shared" si="13"/>
        <v>139418.4</v>
      </c>
      <c r="N132" s="38">
        <f t="shared" si="53"/>
        <v>1584.3</v>
      </c>
      <c r="O132" s="38"/>
      <c r="P132" s="38">
        <f t="shared" si="54"/>
        <v>1188.225</v>
      </c>
      <c r="Q132" s="40">
        <f>J132-M132-N132-P132</f>
        <v>16239.075</v>
      </c>
      <c r="R132" s="49">
        <v>45742.0</v>
      </c>
      <c r="S132" s="49">
        <v>45772.0</v>
      </c>
      <c r="T132" s="39" t="s">
        <v>534</v>
      </c>
      <c r="U132" s="93"/>
      <c r="V132" s="47"/>
      <c r="W132" s="47"/>
      <c r="X132" s="45"/>
    </row>
    <row r="133">
      <c r="A133" s="92" t="b">
        <v>0</v>
      </c>
      <c r="B133" s="46">
        <v>45719.0</v>
      </c>
      <c r="C133" s="39" t="s">
        <v>150</v>
      </c>
      <c r="D133" s="37" t="s">
        <v>535</v>
      </c>
      <c r="E133" s="37" t="s">
        <v>426</v>
      </c>
      <c r="F133" s="37" t="s">
        <v>481</v>
      </c>
      <c r="G133" s="38">
        <v>1274501.4</v>
      </c>
      <c r="H133" s="39" t="s">
        <v>506</v>
      </c>
      <c r="I133" s="39">
        <v>6.0</v>
      </c>
      <c r="J133" s="38">
        <f t="shared" si="7"/>
        <v>76470.084</v>
      </c>
      <c r="K133" s="38">
        <f t="shared" si="2"/>
        <v>3823.5042</v>
      </c>
      <c r="L133" s="39">
        <v>88.0</v>
      </c>
      <c r="M133" s="38">
        <f t="shared" si="13"/>
        <v>67293.67392</v>
      </c>
      <c r="N133" s="38">
        <f t="shared" si="53"/>
        <v>764.70084</v>
      </c>
      <c r="O133" s="38"/>
      <c r="P133" s="38">
        <f t="shared" ref="P133:P135" si="55">J133*0.0025</f>
        <v>191.17521</v>
      </c>
      <c r="Q133" s="40">
        <f t="shared" ref="Q133:Q134" si="56">J133-M133-N133</f>
        <v>8411.70924</v>
      </c>
      <c r="R133" s="49">
        <v>45754.0</v>
      </c>
      <c r="S133" s="49">
        <v>45763.0</v>
      </c>
      <c r="T133" s="39" t="s">
        <v>536</v>
      </c>
      <c r="U133" s="59" t="s">
        <v>277</v>
      </c>
      <c r="V133" s="47"/>
      <c r="W133" s="47"/>
      <c r="X133" s="45"/>
      <c r="Y133" s="44"/>
      <c r="Z133" s="44"/>
      <c r="AA133" s="44"/>
      <c r="AB133" s="44"/>
      <c r="AC133" s="44"/>
      <c r="AD133" s="44"/>
      <c r="AE133" s="44"/>
      <c r="AF133" s="44"/>
      <c r="AG133" s="44"/>
      <c r="AH133" s="44"/>
      <c r="AI133" s="44"/>
      <c r="AJ133" s="44"/>
      <c r="AK133" s="44"/>
      <c r="AL133" s="44"/>
    </row>
    <row r="134">
      <c r="A134" s="92" t="b">
        <v>0</v>
      </c>
      <c r="B134" s="46">
        <v>45719.0</v>
      </c>
      <c r="C134" s="39" t="s">
        <v>150</v>
      </c>
      <c r="D134" s="37" t="s">
        <v>535</v>
      </c>
      <c r="E134" s="37" t="s">
        <v>426</v>
      </c>
      <c r="F134" s="37" t="s">
        <v>481</v>
      </c>
      <c r="G134" s="38">
        <v>1283469.0</v>
      </c>
      <c r="H134" s="39" t="s">
        <v>506</v>
      </c>
      <c r="I134" s="39">
        <v>6.0</v>
      </c>
      <c r="J134" s="38">
        <f t="shared" si="7"/>
        <v>77008.14</v>
      </c>
      <c r="K134" s="38">
        <f t="shared" si="2"/>
        <v>3850.407</v>
      </c>
      <c r="L134" s="39">
        <v>88.0</v>
      </c>
      <c r="M134" s="38">
        <f t="shared" si="13"/>
        <v>67767.1632</v>
      </c>
      <c r="N134" s="38">
        <f t="shared" si="53"/>
        <v>770.0814</v>
      </c>
      <c r="O134" s="38"/>
      <c r="P134" s="38">
        <f t="shared" si="55"/>
        <v>192.52035</v>
      </c>
      <c r="Q134" s="40">
        <f t="shared" si="56"/>
        <v>8470.8954</v>
      </c>
      <c r="R134" s="49">
        <v>45750.0</v>
      </c>
      <c r="S134" s="49">
        <v>45763.0</v>
      </c>
      <c r="T134" s="39" t="s">
        <v>537</v>
      </c>
      <c r="U134" s="59" t="s">
        <v>277</v>
      </c>
      <c r="V134" s="47"/>
      <c r="W134" s="47"/>
      <c r="X134" s="45"/>
      <c r="Y134" s="44"/>
      <c r="Z134" s="44"/>
      <c r="AA134" s="44"/>
      <c r="AB134" s="44"/>
      <c r="AC134" s="44"/>
      <c r="AD134" s="44"/>
      <c r="AE134" s="44"/>
      <c r="AF134" s="44"/>
      <c r="AG134" s="44"/>
      <c r="AH134" s="44"/>
      <c r="AI134" s="44"/>
      <c r="AJ134" s="44"/>
      <c r="AK134" s="44"/>
      <c r="AL134" s="44"/>
    </row>
    <row r="135">
      <c r="A135" s="92" t="b">
        <v>0</v>
      </c>
      <c r="B135" s="46">
        <v>45719.0</v>
      </c>
      <c r="C135" s="39" t="s">
        <v>150</v>
      </c>
      <c r="D135" s="37" t="s">
        <v>538</v>
      </c>
      <c r="E135" s="37" t="s">
        <v>426</v>
      </c>
      <c r="F135" s="37" t="s">
        <v>481</v>
      </c>
      <c r="G135" s="38">
        <v>1322306.0</v>
      </c>
      <c r="H135" s="39" t="s">
        <v>506</v>
      </c>
      <c r="I135" s="39">
        <v>6.0</v>
      </c>
      <c r="J135" s="38">
        <f t="shared" si="7"/>
        <v>79338.36</v>
      </c>
      <c r="K135" s="38">
        <f t="shared" si="2"/>
        <v>3966.918</v>
      </c>
      <c r="L135" s="39">
        <v>85.0</v>
      </c>
      <c r="M135" s="38">
        <f t="shared" si="13"/>
        <v>67437.606</v>
      </c>
      <c r="N135" s="38">
        <f t="shared" si="53"/>
        <v>793.3836</v>
      </c>
      <c r="O135" s="38"/>
      <c r="P135" s="38">
        <f t="shared" si="55"/>
        <v>198.3459</v>
      </c>
      <c r="Q135" s="40">
        <f t="shared" ref="Q135:Q138" si="57">J135-M135-N135-P135</f>
        <v>10909.0245</v>
      </c>
      <c r="R135" s="35">
        <v>45975.0</v>
      </c>
      <c r="S135" s="49">
        <v>46056.0</v>
      </c>
      <c r="T135" s="94"/>
      <c r="U135" s="94"/>
      <c r="V135" s="47"/>
      <c r="W135" s="47"/>
      <c r="X135" s="45"/>
      <c r="Y135" s="44"/>
      <c r="Z135" s="44"/>
      <c r="AA135" s="44"/>
      <c r="AB135" s="44"/>
      <c r="AC135" s="44"/>
      <c r="AD135" s="44"/>
      <c r="AE135" s="44"/>
      <c r="AF135" s="44"/>
      <c r="AG135" s="44"/>
      <c r="AH135" s="44"/>
      <c r="AI135" s="44"/>
      <c r="AJ135" s="44"/>
      <c r="AK135" s="44"/>
      <c r="AL135" s="44"/>
    </row>
    <row r="136">
      <c r="A136" s="92" t="b">
        <v>0</v>
      </c>
      <c r="B136" s="46">
        <v>45725.0</v>
      </c>
      <c r="C136" s="39" t="s">
        <v>150</v>
      </c>
      <c r="D136" s="37" t="s">
        <v>539</v>
      </c>
      <c r="E136" s="37" t="s">
        <v>540</v>
      </c>
      <c r="F136" s="37" t="s">
        <v>44</v>
      </c>
      <c r="G136" s="38">
        <v>1682243.0</v>
      </c>
      <c r="H136" s="39" t="s">
        <v>506</v>
      </c>
      <c r="I136" s="39">
        <v>6.0</v>
      </c>
      <c r="J136" s="38">
        <f t="shared" si="7"/>
        <v>100934.58</v>
      </c>
      <c r="K136" s="38">
        <f t="shared" si="2"/>
        <v>5046.729</v>
      </c>
      <c r="L136" s="39">
        <v>88.0</v>
      </c>
      <c r="M136" s="38">
        <f t="shared" si="13"/>
        <v>88822.4304</v>
      </c>
      <c r="N136" s="38"/>
      <c r="O136" s="38"/>
      <c r="P136" s="38">
        <f>J136*0.0075</f>
        <v>757.00935</v>
      </c>
      <c r="Q136" s="40">
        <f t="shared" si="57"/>
        <v>11355.14025</v>
      </c>
      <c r="R136" s="49">
        <v>45775.0</v>
      </c>
      <c r="S136" s="49">
        <v>45786.0</v>
      </c>
      <c r="T136" s="47"/>
      <c r="U136" s="47"/>
      <c r="V136" s="47"/>
      <c r="W136" s="47"/>
      <c r="X136" s="45"/>
      <c r="Y136" s="44"/>
      <c r="Z136" s="44"/>
      <c r="AA136" s="44"/>
      <c r="AB136" s="44"/>
      <c r="AC136" s="44"/>
      <c r="AD136" s="44"/>
      <c r="AE136" s="44"/>
      <c r="AF136" s="44"/>
      <c r="AG136" s="44"/>
      <c r="AH136" s="44"/>
      <c r="AI136" s="44"/>
      <c r="AJ136" s="44"/>
      <c r="AK136" s="44"/>
      <c r="AL136" s="44"/>
    </row>
    <row r="137">
      <c r="A137" s="92" t="b">
        <v>0</v>
      </c>
      <c r="B137" s="46">
        <v>45728.0</v>
      </c>
      <c r="C137" s="39" t="s">
        <v>150</v>
      </c>
      <c r="D137" s="37" t="s">
        <v>541</v>
      </c>
      <c r="E137" s="37" t="s">
        <v>426</v>
      </c>
      <c r="F137" s="37" t="s">
        <v>481</v>
      </c>
      <c r="G137" s="38">
        <v>830036.0</v>
      </c>
      <c r="H137" s="39" t="s">
        <v>542</v>
      </c>
      <c r="I137" s="39">
        <v>6.0</v>
      </c>
      <c r="J137" s="38">
        <f t="shared" si="7"/>
        <v>49802.16</v>
      </c>
      <c r="K137" s="38">
        <f t="shared" si="2"/>
        <v>2490.108</v>
      </c>
      <c r="L137" s="39">
        <v>88.0</v>
      </c>
      <c r="M137" s="38">
        <f t="shared" si="13"/>
        <v>43825.9008</v>
      </c>
      <c r="N137" s="38">
        <f>J137*0.01</f>
        <v>498.0216</v>
      </c>
      <c r="O137" s="38"/>
      <c r="P137" s="38">
        <f>J137*0.0025</f>
        <v>124.5054</v>
      </c>
      <c r="Q137" s="40">
        <f t="shared" si="57"/>
        <v>5353.7322</v>
      </c>
      <c r="R137" s="49"/>
      <c r="S137" s="49">
        <v>45822.0</v>
      </c>
      <c r="T137" s="47"/>
      <c r="U137" s="47"/>
      <c r="V137" s="47"/>
      <c r="W137" s="47"/>
      <c r="X137" s="45"/>
      <c r="Y137" s="44"/>
      <c r="Z137" s="44"/>
      <c r="AA137" s="44"/>
      <c r="AB137" s="44"/>
      <c r="AC137" s="44"/>
      <c r="AD137" s="44"/>
      <c r="AE137" s="44"/>
      <c r="AF137" s="44"/>
      <c r="AG137" s="44"/>
      <c r="AH137" s="44"/>
      <c r="AI137" s="44"/>
      <c r="AJ137" s="44"/>
      <c r="AK137" s="44"/>
      <c r="AL137" s="44"/>
    </row>
    <row r="138">
      <c r="A138" s="92" t="b">
        <v>0</v>
      </c>
      <c r="B138" s="46">
        <v>45729.0</v>
      </c>
      <c r="C138" s="39" t="s">
        <v>150</v>
      </c>
      <c r="D138" s="37" t="s">
        <v>543</v>
      </c>
      <c r="E138" s="37" t="s">
        <v>200</v>
      </c>
      <c r="F138" s="38" t="s">
        <v>416</v>
      </c>
      <c r="G138" s="38">
        <v>514718.25</v>
      </c>
      <c r="H138" s="39" t="s">
        <v>284</v>
      </c>
      <c r="I138" s="39">
        <v>5.0</v>
      </c>
      <c r="J138" s="38">
        <f t="shared" si="7"/>
        <v>25735.9125</v>
      </c>
      <c r="K138" s="38">
        <f t="shared" si="2"/>
        <v>1286.795625</v>
      </c>
      <c r="L138" s="39">
        <v>80.0</v>
      </c>
      <c r="M138" s="38">
        <f t="shared" si="13"/>
        <v>20588.73</v>
      </c>
      <c r="N138" s="38">
        <f>J138*0.09</f>
        <v>2316.232125</v>
      </c>
      <c r="O138" s="38"/>
      <c r="P138" s="38">
        <f>J138*0.0075</f>
        <v>193.0193438</v>
      </c>
      <c r="Q138" s="40">
        <f t="shared" si="57"/>
        <v>2637.931031</v>
      </c>
      <c r="R138" s="39"/>
      <c r="S138" s="49">
        <v>45797.0</v>
      </c>
      <c r="T138" s="47"/>
      <c r="U138" s="47"/>
      <c r="V138" s="47"/>
      <c r="W138" s="47"/>
      <c r="X138" s="45"/>
    </row>
    <row r="139">
      <c r="A139" s="92" t="b">
        <v>0</v>
      </c>
      <c r="B139" s="46">
        <v>45730.0</v>
      </c>
      <c r="C139" s="39" t="s">
        <v>219</v>
      </c>
      <c r="D139" s="37" t="s">
        <v>544</v>
      </c>
      <c r="E139" s="37" t="s">
        <v>513</v>
      </c>
      <c r="F139" s="37" t="s">
        <v>514</v>
      </c>
      <c r="G139" s="38">
        <v>1873888.0</v>
      </c>
      <c r="H139" s="39" t="s">
        <v>273</v>
      </c>
      <c r="I139" s="39">
        <v>4.0</v>
      </c>
      <c r="J139" s="38">
        <f t="shared" si="7"/>
        <v>74955.52</v>
      </c>
      <c r="K139" s="38">
        <f t="shared" si="2"/>
        <v>3747.776</v>
      </c>
      <c r="L139" s="39">
        <v>50.0</v>
      </c>
      <c r="M139" s="38">
        <f t="shared" si="13"/>
        <v>37477.76</v>
      </c>
      <c r="N139" s="38">
        <f t="shared" ref="N139:N140" si="58">J139*0.05</f>
        <v>3747.776</v>
      </c>
      <c r="O139" s="38"/>
      <c r="P139" s="38"/>
      <c r="Q139" s="40">
        <f t="shared" ref="Q139:Q140" si="59">J139-M139-N139</f>
        <v>33729.984</v>
      </c>
      <c r="R139" s="39"/>
      <c r="S139" s="49">
        <v>45788.0</v>
      </c>
      <c r="T139" s="47"/>
      <c r="U139" s="47"/>
      <c r="V139" s="47"/>
      <c r="W139" s="47"/>
      <c r="X139" s="45"/>
      <c r="Y139" s="44"/>
      <c r="Z139" s="44"/>
      <c r="AA139" s="44"/>
      <c r="AB139" s="44"/>
      <c r="AC139" s="44"/>
      <c r="AD139" s="44"/>
      <c r="AE139" s="44"/>
      <c r="AF139" s="44"/>
      <c r="AG139" s="44"/>
      <c r="AH139" s="44"/>
      <c r="AI139" s="44"/>
      <c r="AJ139" s="44"/>
      <c r="AK139" s="44"/>
      <c r="AL139" s="44"/>
    </row>
    <row r="140">
      <c r="A140" s="92" t="b">
        <v>0</v>
      </c>
      <c r="B140" s="46">
        <v>45742.0</v>
      </c>
      <c r="C140" s="39" t="s">
        <v>219</v>
      </c>
      <c r="D140" s="37" t="s">
        <v>545</v>
      </c>
      <c r="E140" s="37" t="s">
        <v>513</v>
      </c>
      <c r="F140" s="37" t="s">
        <v>514</v>
      </c>
      <c r="G140" s="38">
        <v>706188.32</v>
      </c>
      <c r="H140" s="39" t="s">
        <v>515</v>
      </c>
      <c r="I140" s="39">
        <v>5.0</v>
      </c>
      <c r="J140" s="38">
        <f t="shared" si="7"/>
        <v>35309.416</v>
      </c>
      <c r="K140" s="38">
        <f t="shared" si="2"/>
        <v>1765.4708</v>
      </c>
      <c r="L140" s="39">
        <v>80.0</v>
      </c>
      <c r="M140" s="38">
        <f t="shared" si="13"/>
        <v>28247.5328</v>
      </c>
      <c r="N140" s="38">
        <f t="shared" si="58"/>
        <v>1765.4708</v>
      </c>
      <c r="O140" s="38"/>
      <c r="P140" s="38"/>
      <c r="Q140" s="40">
        <f t="shared" si="59"/>
        <v>5296.4124</v>
      </c>
      <c r="R140" s="49">
        <v>45828.0</v>
      </c>
      <c r="S140" s="49">
        <v>45903.0</v>
      </c>
      <c r="T140" s="39" t="s">
        <v>546</v>
      </c>
      <c r="U140" s="47"/>
      <c r="V140" s="47"/>
      <c r="W140" s="47"/>
      <c r="X140" s="45"/>
      <c r="Y140" s="44"/>
      <c r="Z140" s="44"/>
      <c r="AA140" s="44"/>
      <c r="AB140" s="44"/>
      <c r="AC140" s="44"/>
      <c r="AD140" s="44"/>
      <c r="AE140" s="44"/>
      <c r="AF140" s="44"/>
      <c r="AG140" s="44"/>
      <c r="AH140" s="44"/>
      <c r="AI140" s="44"/>
      <c r="AJ140" s="44"/>
      <c r="AK140" s="44"/>
      <c r="AL140" s="44"/>
    </row>
    <row r="141">
      <c r="A141" s="92" t="b">
        <v>0</v>
      </c>
      <c r="B141" s="46">
        <v>45743.0</v>
      </c>
      <c r="C141" s="39" t="s">
        <v>150</v>
      </c>
      <c r="D141" s="37" t="s">
        <v>547</v>
      </c>
      <c r="E141" s="37" t="s">
        <v>548</v>
      </c>
      <c r="F141" s="37" t="s">
        <v>549</v>
      </c>
      <c r="G141" s="38">
        <v>665000.0</v>
      </c>
      <c r="H141" s="39" t="s">
        <v>550</v>
      </c>
      <c r="I141" s="39">
        <v>8.0</v>
      </c>
      <c r="J141" s="38">
        <f t="shared" si="7"/>
        <v>53200</v>
      </c>
      <c r="K141" s="38">
        <f t="shared" si="2"/>
        <v>2660</v>
      </c>
      <c r="L141" s="39">
        <v>88.0</v>
      </c>
      <c r="M141" s="38">
        <f t="shared" si="13"/>
        <v>46816</v>
      </c>
      <c r="N141" s="38"/>
      <c r="O141" s="38"/>
      <c r="P141" s="38">
        <f t="shared" ref="P141:P146" si="60">J141*0.0075</f>
        <v>399</v>
      </c>
      <c r="Q141" s="40">
        <f t="shared" ref="Q141:Q146" si="61">J141-M141-N141-P141</f>
        <v>5985</v>
      </c>
      <c r="R141" s="49">
        <v>45819.0</v>
      </c>
      <c r="S141" s="39"/>
      <c r="T141" s="47"/>
      <c r="U141" s="47"/>
      <c r="V141" s="47"/>
      <c r="W141" s="47"/>
      <c r="X141" s="45"/>
      <c r="Y141" s="44"/>
      <c r="Z141" s="44"/>
      <c r="AA141" s="44"/>
      <c r="AB141" s="44"/>
      <c r="AC141" s="44"/>
      <c r="AD141" s="44"/>
      <c r="AE141" s="44"/>
      <c r="AF141" s="44"/>
      <c r="AG141" s="44"/>
      <c r="AH141" s="44"/>
      <c r="AI141" s="44"/>
      <c r="AJ141" s="44"/>
      <c r="AK141" s="44"/>
      <c r="AL141" s="44"/>
    </row>
    <row r="142">
      <c r="A142" s="92" t="b">
        <v>0</v>
      </c>
      <c r="B142" s="46">
        <v>45745.0</v>
      </c>
      <c r="C142" s="39" t="s">
        <v>150</v>
      </c>
      <c r="D142" s="37" t="s">
        <v>551</v>
      </c>
      <c r="E142" s="37" t="s">
        <v>552</v>
      </c>
      <c r="F142" s="37" t="s">
        <v>44</v>
      </c>
      <c r="G142" s="38">
        <v>2118490.0</v>
      </c>
      <c r="H142" s="39" t="s">
        <v>515</v>
      </c>
      <c r="I142" s="39">
        <v>5.0</v>
      </c>
      <c r="J142" s="38">
        <f t="shared" si="7"/>
        <v>105924.5</v>
      </c>
      <c r="K142" s="38">
        <f t="shared" si="2"/>
        <v>5296.225</v>
      </c>
      <c r="L142" s="39">
        <v>88.0</v>
      </c>
      <c r="M142" s="38">
        <f t="shared" si="13"/>
        <v>93213.56</v>
      </c>
      <c r="N142" s="38"/>
      <c r="O142" s="38"/>
      <c r="P142" s="38">
        <f t="shared" si="60"/>
        <v>794.43375</v>
      </c>
      <c r="Q142" s="40">
        <f t="shared" si="61"/>
        <v>11916.50625</v>
      </c>
      <c r="R142" s="49">
        <v>45765.0</v>
      </c>
      <c r="S142" s="49">
        <v>45861.0</v>
      </c>
      <c r="T142" s="39" t="s">
        <v>553</v>
      </c>
      <c r="U142" s="47"/>
      <c r="V142" s="47"/>
      <c r="W142" s="47"/>
      <c r="X142" s="45"/>
      <c r="Y142" s="44"/>
      <c r="Z142" s="44"/>
      <c r="AA142" s="44"/>
      <c r="AB142" s="44"/>
      <c r="AC142" s="44"/>
      <c r="AD142" s="44"/>
      <c r="AE142" s="44"/>
      <c r="AF142" s="44"/>
      <c r="AG142" s="44"/>
      <c r="AH142" s="44"/>
      <c r="AI142" s="44"/>
      <c r="AJ142" s="44"/>
      <c r="AK142" s="44"/>
      <c r="AL142" s="44"/>
    </row>
    <row r="143">
      <c r="A143" s="92" t="b">
        <v>0</v>
      </c>
      <c r="B143" s="46">
        <v>45749.0</v>
      </c>
      <c r="C143" s="39" t="s">
        <v>150</v>
      </c>
      <c r="D143" s="37" t="s">
        <v>554</v>
      </c>
      <c r="E143" s="37" t="s">
        <v>555</v>
      </c>
      <c r="F143" s="37" t="s">
        <v>514</v>
      </c>
      <c r="G143" s="38">
        <v>2172000.0</v>
      </c>
      <c r="H143" s="39" t="s">
        <v>556</v>
      </c>
      <c r="I143" s="39">
        <v>5.0</v>
      </c>
      <c r="J143" s="38">
        <f t="shared" si="7"/>
        <v>108600</v>
      </c>
      <c r="K143" s="38">
        <f t="shared" si="2"/>
        <v>5430</v>
      </c>
      <c r="L143" s="39">
        <v>88.0</v>
      </c>
      <c r="M143" s="38">
        <f t="shared" si="13"/>
        <v>95568</v>
      </c>
      <c r="N143" s="38">
        <f>J143*0.05</f>
        <v>5430</v>
      </c>
      <c r="O143" s="38"/>
      <c r="P143" s="38">
        <f t="shared" si="60"/>
        <v>814.5</v>
      </c>
      <c r="Q143" s="40">
        <f t="shared" si="61"/>
        <v>6787.5</v>
      </c>
      <c r="R143" s="49">
        <v>45786.0</v>
      </c>
      <c r="S143" s="49">
        <v>45853.0</v>
      </c>
      <c r="T143" s="47"/>
      <c r="U143" s="47"/>
      <c r="V143" s="47"/>
      <c r="W143" s="47"/>
      <c r="X143" s="45"/>
      <c r="Y143" s="44"/>
      <c r="Z143" s="44"/>
      <c r="AA143" s="44"/>
      <c r="AB143" s="44"/>
      <c r="AC143" s="44"/>
      <c r="AD143" s="44"/>
      <c r="AE143" s="44"/>
      <c r="AF143" s="44"/>
      <c r="AG143" s="44"/>
      <c r="AH143" s="44"/>
      <c r="AI143" s="44"/>
      <c r="AJ143" s="44"/>
      <c r="AK143" s="44"/>
      <c r="AL143" s="44"/>
    </row>
    <row r="144">
      <c r="A144" s="92" t="b">
        <v>0</v>
      </c>
      <c r="B144" s="46">
        <v>45750.0</v>
      </c>
      <c r="C144" s="39" t="s">
        <v>150</v>
      </c>
      <c r="D144" s="37" t="s">
        <v>557</v>
      </c>
      <c r="E144" s="37" t="s">
        <v>558</v>
      </c>
      <c r="F144" s="37" t="s">
        <v>559</v>
      </c>
      <c r="G144" s="38">
        <v>3910284.0</v>
      </c>
      <c r="H144" s="39" t="s">
        <v>560</v>
      </c>
      <c r="I144" s="39">
        <v>5.0</v>
      </c>
      <c r="J144" s="38">
        <f t="shared" si="7"/>
        <v>195514.2</v>
      </c>
      <c r="K144" s="38">
        <f t="shared" si="2"/>
        <v>9775.71</v>
      </c>
      <c r="L144" s="39">
        <v>88.0</v>
      </c>
      <c r="M144" s="38">
        <f t="shared" si="13"/>
        <v>172052.496</v>
      </c>
      <c r="N144" s="38">
        <f t="shared" ref="N144:N146" si="62">J144*0.01</f>
        <v>1955.142</v>
      </c>
      <c r="O144" s="38"/>
      <c r="P144" s="38">
        <f t="shared" si="60"/>
        <v>1466.3565</v>
      </c>
      <c r="Q144" s="40">
        <f t="shared" si="61"/>
        <v>20040.2055</v>
      </c>
      <c r="R144" s="49">
        <v>45845.0</v>
      </c>
      <c r="S144" s="49">
        <v>45847.0</v>
      </c>
      <c r="T144" s="47"/>
      <c r="U144" s="47"/>
      <c r="V144" s="47"/>
      <c r="W144" s="47"/>
      <c r="X144" s="45"/>
      <c r="Y144" s="44"/>
      <c r="Z144" s="44"/>
      <c r="AA144" s="44"/>
      <c r="AB144" s="44"/>
      <c r="AC144" s="44"/>
      <c r="AD144" s="44"/>
      <c r="AE144" s="44"/>
      <c r="AF144" s="44"/>
      <c r="AG144" s="44"/>
      <c r="AH144" s="44"/>
      <c r="AI144" s="44"/>
      <c r="AJ144" s="44"/>
      <c r="AK144" s="44"/>
      <c r="AL144" s="44"/>
    </row>
    <row r="145">
      <c r="A145" s="92" t="b">
        <v>0</v>
      </c>
      <c r="B145" s="46">
        <v>45750.0</v>
      </c>
      <c r="C145" s="39" t="s">
        <v>150</v>
      </c>
      <c r="D145" s="37" t="s">
        <v>561</v>
      </c>
      <c r="E145" s="37" t="s">
        <v>558</v>
      </c>
      <c r="F145" s="37" t="s">
        <v>559</v>
      </c>
      <c r="G145" s="38">
        <v>5217456.0</v>
      </c>
      <c r="H145" s="39" t="s">
        <v>560</v>
      </c>
      <c r="I145" s="39">
        <v>5.0</v>
      </c>
      <c r="J145" s="38">
        <f t="shared" si="7"/>
        <v>260872.8</v>
      </c>
      <c r="K145" s="38">
        <f t="shared" si="2"/>
        <v>13043.64</v>
      </c>
      <c r="L145" s="39">
        <v>88.0</v>
      </c>
      <c r="M145" s="38">
        <f t="shared" si="13"/>
        <v>229568.064</v>
      </c>
      <c r="N145" s="38">
        <f t="shared" si="62"/>
        <v>2608.728</v>
      </c>
      <c r="O145" s="38"/>
      <c r="P145" s="38">
        <f t="shared" si="60"/>
        <v>1956.546</v>
      </c>
      <c r="Q145" s="40">
        <f t="shared" si="61"/>
        <v>26739.462</v>
      </c>
      <c r="R145" s="49">
        <v>45811.0</v>
      </c>
      <c r="S145" s="49">
        <v>45818.0</v>
      </c>
      <c r="T145" s="47"/>
      <c r="U145" s="47"/>
      <c r="V145" s="47"/>
      <c r="W145" s="47"/>
      <c r="X145" s="45"/>
      <c r="Y145" s="44"/>
      <c r="Z145" s="44"/>
      <c r="AA145" s="44"/>
      <c r="AB145" s="44"/>
      <c r="AC145" s="44"/>
      <c r="AD145" s="44"/>
      <c r="AE145" s="44"/>
      <c r="AF145" s="44"/>
      <c r="AG145" s="44"/>
      <c r="AH145" s="44"/>
      <c r="AI145" s="44"/>
      <c r="AJ145" s="44"/>
      <c r="AK145" s="44"/>
      <c r="AL145" s="44"/>
    </row>
    <row r="146">
      <c r="A146" s="92" t="b">
        <v>0</v>
      </c>
      <c r="B146" s="46">
        <v>45756.0</v>
      </c>
      <c r="C146" s="39" t="s">
        <v>150</v>
      </c>
      <c r="D146" s="37" t="s">
        <v>562</v>
      </c>
      <c r="E146" s="37" t="s">
        <v>563</v>
      </c>
      <c r="F146" s="37" t="s">
        <v>564</v>
      </c>
      <c r="G146" s="38">
        <v>500000.0</v>
      </c>
      <c r="H146" s="39" t="s">
        <v>223</v>
      </c>
      <c r="I146" s="39">
        <v>6.0</v>
      </c>
      <c r="J146" s="38">
        <f t="shared" si="7"/>
        <v>30000</v>
      </c>
      <c r="K146" s="38">
        <f t="shared" si="2"/>
        <v>1500</v>
      </c>
      <c r="L146" s="39">
        <v>88.0</v>
      </c>
      <c r="M146" s="38">
        <f t="shared" si="13"/>
        <v>26400</v>
      </c>
      <c r="N146" s="38">
        <f t="shared" si="62"/>
        <v>300</v>
      </c>
      <c r="O146" s="49">
        <v>45777.0</v>
      </c>
      <c r="P146" s="38">
        <f t="shared" si="60"/>
        <v>225</v>
      </c>
      <c r="Q146" s="40">
        <f t="shared" si="61"/>
        <v>3075</v>
      </c>
      <c r="R146" s="49">
        <v>45777.0</v>
      </c>
      <c r="S146" s="49">
        <v>45873.0</v>
      </c>
      <c r="T146" s="47"/>
      <c r="U146" s="47"/>
      <c r="V146" s="47"/>
      <c r="W146" s="47"/>
      <c r="X146" s="45"/>
      <c r="Y146" s="44"/>
      <c r="Z146" s="44"/>
      <c r="AA146" s="44"/>
      <c r="AB146" s="44"/>
      <c r="AC146" s="44"/>
      <c r="AD146" s="44"/>
      <c r="AE146" s="44"/>
      <c r="AF146" s="44"/>
      <c r="AG146" s="44"/>
      <c r="AH146" s="44"/>
      <c r="AI146" s="44"/>
      <c r="AJ146" s="44"/>
      <c r="AK146" s="44"/>
      <c r="AL146" s="44"/>
    </row>
    <row r="147">
      <c r="A147" s="92" t="b">
        <v>0</v>
      </c>
      <c r="B147" s="46">
        <v>45757.0</v>
      </c>
      <c r="C147" s="39" t="s">
        <v>219</v>
      </c>
      <c r="D147" s="37" t="s">
        <v>565</v>
      </c>
      <c r="E147" s="37" t="s">
        <v>566</v>
      </c>
      <c r="F147" s="37" t="s">
        <v>514</v>
      </c>
      <c r="G147" s="38">
        <v>1159460.0</v>
      </c>
      <c r="H147" s="39" t="s">
        <v>567</v>
      </c>
      <c r="I147" s="39">
        <v>5.0</v>
      </c>
      <c r="J147" s="38">
        <f t="shared" si="7"/>
        <v>57973</v>
      </c>
      <c r="K147" s="38">
        <f t="shared" si="2"/>
        <v>2898.65</v>
      </c>
      <c r="L147" s="39">
        <v>50.0</v>
      </c>
      <c r="M147" s="38">
        <f t="shared" si="13"/>
        <v>28986.5</v>
      </c>
      <c r="N147" s="38">
        <f t="shared" ref="N147:N148" si="63">J147*0.05</f>
        <v>2898.65</v>
      </c>
      <c r="O147" s="38"/>
      <c r="P147" s="38"/>
      <c r="Q147" s="40">
        <f t="shared" ref="Q147:Q148" si="64">J147-M147-N147</f>
        <v>26087.85</v>
      </c>
      <c r="R147" s="49">
        <v>45770.0</v>
      </c>
      <c r="S147" s="49">
        <v>45824.0</v>
      </c>
      <c r="T147" s="39" t="s">
        <v>568</v>
      </c>
      <c r="U147" s="47"/>
      <c r="V147" s="47"/>
      <c r="W147" s="47"/>
      <c r="X147" s="45"/>
      <c r="Y147" s="44"/>
      <c r="Z147" s="44"/>
      <c r="AA147" s="44"/>
      <c r="AB147" s="44"/>
      <c r="AC147" s="44"/>
      <c r="AD147" s="44"/>
      <c r="AE147" s="44"/>
      <c r="AF147" s="44"/>
      <c r="AG147" s="44"/>
      <c r="AH147" s="44"/>
      <c r="AI147" s="44"/>
      <c r="AJ147" s="44"/>
      <c r="AK147" s="44"/>
      <c r="AL147" s="44"/>
    </row>
    <row r="148">
      <c r="A148" s="92" t="b">
        <v>0</v>
      </c>
      <c r="B148" s="46">
        <v>45758.0</v>
      </c>
      <c r="C148" s="39" t="s">
        <v>219</v>
      </c>
      <c r="D148" s="37" t="s">
        <v>569</v>
      </c>
      <c r="E148" s="37" t="s">
        <v>570</v>
      </c>
      <c r="F148" s="37" t="s">
        <v>514</v>
      </c>
      <c r="G148" s="38">
        <v>2035000.0</v>
      </c>
      <c r="H148" s="39" t="s">
        <v>571</v>
      </c>
      <c r="I148" s="39">
        <v>4.0</v>
      </c>
      <c r="J148" s="38">
        <f t="shared" si="7"/>
        <v>81400</v>
      </c>
      <c r="K148" s="38">
        <f t="shared" si="2"/>
        <v>4070</v>
      </c>
      <c r="L148" s="39">
        <v>50.0</v>
      </c>
      <c r="M148" s="38">
        <f t="shared" si="13"/>
        <v>40700</v>
      </c>
      <c r="N148" s="38">
        <f t="shared" si="63"/>
        <v>4070</v>
      </c>
      <c r="O148" s="38"/>
      <c r="P148" s="38"/>
      <c r="Q148" s="40">
        <f t="shared" si="64"/>
        <v>36630</v>
      </c>
      <c r="R148" s="49">
        <v>45817.0</v>
      </c>
      <c r="S148" s="49">
        <v>45896.0</v>
      </c>
      <c r="T148" s="47"/>
      <c r="U148" s="47"/>
      <c r="V148" s="47"/>
      <c r="W148" s="47"/>
      <c r="X148" s="45"/>
      <c r="Y148" s="44"/>
      <c r="Z148" s="44"/>
      <c r="AA148" s="44"/>
      <c r="AB148" s="44"/>
      <c r="AC148" s="44"/>
      <c r="AD148" s="44"/>
      <c r="AE148" s="44"/>
      <c r="AF148" s="44"/>
      <c r="AG148" s="44"/>
      <c r="AH148" s="44"/>
      <c r="AI148" s="44"/>
      <c r="AJ148" s="44"/>
      <c r="AK148" s="44"/>
      <c r="AL148" s="44"/>
    </row>
    <row r="149">
      <c r="A149" s="92" t="b">
        <v>0</v>
      </c>
      <c r="B149" s="46">
        <v>45760.0</v>
      </c>
      <c r="C149" s="39" t="s">
        <v>150</v>
      </c>
      <c r="D149" s="37" t="s">
        <v>572</v>
      </c>
      <c r="E149" s="37" t="s">
        <v>200</v>
      </c>
      <c r="F149" s="38" t="s">
        <v>416</v>
      </c>
      <c r="G149" s="38">
        <v>950000.0</v>
      </c>
      <c r="H149" s="39" t="s">
        <v>573</v>
      </c>
      <c r="I149" s="39">
        <v>4.0</v>
      </c>
      <c r="J149" s="38">
        <f t="shared" si="7"/>
        <v>38000</v>
      </c>
      <c r="K149" s="38">
        <f t="shared" si="2"/>
        <v>1900</v>
      </c>
      <c r="L149" s="39">
        <v>80.0</v>
      </c>
      <c r="M149" s="38">
        <f t="shared" si="13"/>
        <v>30400</v>
      </c>
      <c r="N149" s="38">
        <f>J149*0.09</f>
        <v>3420</v>
      </c>
      <c r="O149" s="38"/>
      <c r="P149" s="38">
        <f>J149*0.0075</f>
        <v>285</v>
      </c>
      <c r="Q149" s="40">
        <f>J149-M149-N149-P149</f>
        <v>3895</v>
      </c>
      <c r="R149" s="49">
        <v>45789.0</v>
      </c>
      <c r="S149" s="49">
        <v>45832.0</v>
      </c>
      <c r="T149" s="47"/>
      <c r="U149" s="47"/>
      <c r="V149" s="47"/>
      <c r="W149" s="47"/>
      <c r="X149" s="45"/>
      <c r="Y149" s="44"/>
      <c r="Z149" s="44"/>
      <c r="AA149" s="44"/>
      <c r="AB149" s="44"/>
      <c r="AC149" s="44"/>
      <c r="AD149" s="44"/>
      <c r="AE149" s="44"/>
      <c r="AF149" s="44"/>
      <c r="AG149" s="44"/>
      <c r="AH149" s="44"/>
      <c r="AI149" s="44"/>
      <c r="AJ149" s="44"/>
      <c r="AK149" s="44"/>
      <c r="AL149" s="44"/>
    </row>
    <row r="150">
      <c r="A150" s="92" t="b">
        <v>0</v>
      </c>
      <c r="B150" s="46">
        <v>45760.0</v>
      </c>
      <c r="C150" s="39" t="s">
        <v>219</v>
      </c>
      <c r="D150" s="37" t="s">
        <v>574</v>
      </c>
      <c r="E150" s="37" t="s">
        <v>575</v>
      </c>
      <c r="F150" s="95" t="s">
        <v>514</v>
      </c>
      <c r="G150" s="38">
        <v>948897.0</v>
      </c>
      <c r="H150" s="39" t="s">
        <v>576</v>
      </c>
      <c r="I150" s="39">
        <v>6.0</v>
      </c>
      <c r="J150" s="38">
        <f t="shared" si="7"/>
        <v>56933.82</v>
      </c>
      <c r="K150" s="38">
        <f t="shared" si="2"/>
        <v>2846.691</v>
      </c>
      <c r="L150" s="39">
        <v>80.0</v>
      </c>
      <c r="M150" s="38">
        <f t="shared" si="13"/>
        <v>45547.056</v>
      </c>
      <c r="N150" s="38">
        <f>J150*0.05</f>
        <v>2846.691</v>
      </c>
      <c r="O150" s="38"/>
      <c r="P150" s="38"/>
      <c r="Q150" s="40">
        <f>J150-M150-N150</f>
        <v>8540.073</v>
      </c>
      <c r="R150" s="49">
        <v>45880.0</v>
      </c>
      <c r="S150" s="35">
        <v>45940.0</v>
      </c>
      <c r="T150" s="39" t="s">
        <v>577</v>
      </c>
      <c r="U150" s="47"/>
      <c r="V150" s="47"/>
      <c r="W150" s="47"/>
      <c r="X150" s="45"/>
      <c r="Y150" s="44"/>
      <c r="Z150" s="44"/>
      <c r="AA150" s="44"/>
      <c r="AB150" s="44"/>
      <c r="AC150" s="44"/>
      <c r="AD150" s="44"/>
      <c r="AE150" s="44"/>
      <c r="AF150" s="44"/>
      <c r="AG150" s="44"/>
      <c r="AH150" s="44"/>
      <c r="AI150" s="44"/>
      <c r="AJ150" s="44"/>
      <c r="AK150" s="44"/>
      <c r="AL150" s="44"/>
    </row>
    <row r="151">
      <c r="A151" s="92" t="b">
        <v>0</v>
      </c>
      <c r="B151" s="46">
        <v>45763.0</v>
      </c>
      <c r="C151" s="39" t="s">
        <v>150</v>
      </c>
      <c r="D151" s="37" t="s">
        <v>578</v>
      </c>
      <c r="E151" s="37" t="s">
        <v>579</v>
      </c>
      <c r="F151" s="37" t="s">
        <v>580</v>
      </c>
      <c r="G151" s="38">
        <v>2.391E7</v>
      </c>
      <c r="H151" s="39" t="s">
        <v>571</v>
      </c>
      <c r="I151" s="39">
        <v>4.0</v>
      </c>
      <c r="J151" s="38">
        <f t="shared" si="7"/>
        <v>956400</v>
      </c>
      <c r="K151" s="38">
        <f t="shared" si="2"/>
        <v>47820</v>
      </c>
      <c r="L151" s="39">
        <v>90.0</v>
      </c>
      <c r="M151" s="38">
        <f t="shared" si="13"/>
        <v>860760</v>
      </c>
      <c r="N151" s="38">
        <f>J151*0.01</f>
        <v>9564</v>
      </c>
      <c r="O151" s="38"/>
      <c r="P151" s="38">
        <f t="shared" ref="P151:P152" si="65">J151*0.0075</f>
        <v>7173</v>
      </c>
      <c r="Q151" s="40">
        <f t="shared" ref="Q151:Q152" si="66">J151-M151-N151-P151</f>
        <v>78903</v>
      </c>
      <c r="R151" s="49">
        <v>45797.0</v>
      </c>
      <c r="S151" s="49">
        <v>45848.0</v>
      </c>
      <c r="T151" s="39" t="s">
        <v>581</v>
      </c>
      <c r="U151" s="47"/>
      <c r="V151" s="47"/>
      <c r="W151" s="47"/>
      <c r="X151" s="45"/>
      <c r="Y151" s="44"/>
      <c r="Z151" s="44"/>
      <c r="AA151" s="44"/>
      <c r="AB151" s="44"/>
      <c r="AC151" s="44"/>
      <c r="AD151" s="44"/>
      <c r="AE151" s="44"/>
      <c r="AF151" s="44"/>
      <c r="AG151" s="44"/>
      <c r="AH151" s="44"/>
      <c r="AI151" s="44"/>
      <c r="AJ151" s="44"/>
      <c r="AK151" s="44"/>
      <c r="AL151" s="44"/>
    </row>
    <row r="152">
      <c r="A152" s="92" t="b">
        <v>0</v>
      </c>
      <c r="B152" s="46">
        <v>45769.0</v>
      </c>
      <c r="C152" s="39" t="s">
        <v>150</v>
      </c>
      <c r="D152" s="37" t="s">
        <v>582</v>
      </c>
      <c r="E152" s="37" t="s">
        <v>540</v>
      </c>
      <c r="F152" s="37" t="s">
        <v>44</v>
      </c>
      <c r="G152" s="38">
        <v>741725.0</v>
      </c>
      <c r="H152" s="39" t="s">
        <v>234</v>
      </c>
      <c r="I152" s="39">
        <v>6.0</v>
      </c>
      <c r="J152" s="38">
        <f t="shared" si="7"/>
        <v>44503.5</v>
      </c>
      <c r="K152" s="38">
        <f t="shared" si="2"/>
        <v>2225.175</v>
      </c>
      <c r="L152" s="39">
        <v>88.0</v>
      </c>
      <c r="M152" s="38">
        <f t="shared" si="13"/>
        <v>39163.08</v>
      </c>
      <c r="N152" s="38"/>
      <c r="O152" s="38"/>
      <c r="P152" s="38">
        <f t="shared" si="65"/>
        <v>333.77625</v>
      </c>
      <c r="Q152" s="40">
        <f t="shared" si="66"/>
        <v>5006.64375</v>
      </c>
      <c r="R152" s="49">
        <v>45770.0</v>
      </c>
      <c r="S152" s="49">
        <v>45804.0</v>
      </c>
      <c r="T152" s="47"/>
      <c r="U152" s="47"/>
      <c r="V152" s="47"/>
      <c r="W152" s="47"/>
      <c r="X152" s="45"/>
    </row>
    <row r="153">
      <c r="A153" s="92" t="b">
        <v>0</v>
      </c>
      <c r="B153" s="46">
        <v>45769.0</v>
      </c>
      <c r="C153" s="39" t="s">
        <v>219</v>
      </c>
      <c r="D153" s="37" t="s">
        <v>583</v>
      </c>
      <c r="E153" s="37" t="s">
        <v>566</v>
      </c>
      <c r="F153" s="37" t="s">
        <v>514</v>
      </c>
      <c r="G153" s="38">
        <v>2724279.36</v>
      </c>
      <c r="H153" s="39" t="s">
        <v>515</v>
      </c>
      <c r="I153" s="39">
        <v>5.0</v>
      </c>
      <c r="J153" s="38">
        <f t="shared" si="7"/>
        <v>136213.968</v>
      </c>
      <c r="K153" s="38">
        <f t="shared" si="2"/>
        <v>6810.6984</v>
      </c>
      <c r="L153" s="39">
        <v>80.0</v>
      </c>
      <c r="M153" s="38">
        <f t="shared" si="13"/>
        <v>108971.1744</v>
      </c>
      <c r="N153" s="38">
        <f>J153*0.05</f>
        <v>6810.6984</v>
      </c>
      <c r="O153" s="38"/>
      <c r="P153" s="38"/>
      <c r="Q153" s="40">
        <f>J153-M153-N153</f>
        <v>20432.0952</v>
      </c>
      <c r="R153" s="49">
        <v>45828.0</v>
      </c>
      <c r="S153" s="49">
        <v>45903.0</v>
      </c>
      <c r="T153" s="39" t="s">
        <v>584</v>
      </c>
      <c r="U153" s="47"/>
      <c r="V153" s="47"/>
      <c r="W153" s="47"/>
      <c r="X153" s="45"/>
      <c r="Y153" s="44"/>
      <c r="Z153" s="44"/>
      <c r="AA153" s="44"/>
      <c r="AB153" s="44"/>
      <c r="AC153" s="44"/>
      <c r="AD153" s="44"/>
      <c r="AE153" s="44"/>
      <c r="AF153" s="44"/>
      <c r="AG153" s="44"/>
      <c r="AH153" s="44"/>
      <c r="AI153" s="44"/>
      <c r="AJ153" s="44"/>
      <c r="AK153" s="44"/>
      <c r="AL153" s="44"/>
    </row>
    <row r="154">
      <c r="A154" s="92" t="b">
        <v>0</v>
      </c>
      <c r="B154" s="46">
        <v>45771.0</v>
      </c>
      <c r="C154" s="39" t="s">
        <v>150</v>
      </c>
      <c r="D154" s="37" t="s">
        <v>585</v>
      </c>
      <c r="E154" s="37" t="s">
        <v>586</v>
      </c>
      <c r="F154" s="37" t="s">
        <v>44</v>
      </c>
      <c r="G154" s="38">
        <v>4082888.0</v>
      </c>
      <c r="H154" s="39" t="s">
        <v>273</v>
      </c>
      <c r="I154" s="39">
        <v>4.0</v>
      </c>
      <c r="J154" s="38">
        <f t="shared" si="7"/>
        <v>163315.52</v>
      </c>
      <c r="K154" s="38">
        <f t="shared" si="2"/>
        <v>8165.776</v>
      </c>
      <c r="L154" s="39">
        <v>88.0</v>
      </c>
      <c r="M154" s="38">
        <f t="shared" si="13"/>
        <v>143717.6576</v>
      </c>
      <c r="N154" s="38"/>
      <c r="O154" s="38"/>
      <c r="P154" s="38">
        <f>J154*0.0075</f>
        <v>1224.8664</v>
      </c>
      <c r="Q154" s="40">
        <f>J154-M154-N154-P154</f>
        <v>18372.996</v>
      </c>
      <c r="R154" s="39"/>
      <c r="S154" s="49">
        <v>45881.0</v>
      </c>
      <c r="T154" s="39" t="s">
        <v>587</v>
      </c>
      <c r="U154" s="47"/>
      <c r="V154" s="47"/>
      <c r="W154" s="47"/>
      <c r="X154" s="45"/>
      <c r="Y154" s="44"/>
      <c r="Z154" s="44"/>
      <c r="AA154" s="44"/>
      <c r="AB154" s="44"/>
      <c r="AC154" s="44"/>
      <c r="AD154" s="44"/>
      <c r="AE154" s="44"/>
      <c r="AF154" s="44"/>
      <c r="AG154" s="44"/>
      <c r="AH154" s="44"/>
      <c r="AI154" s="44"/>
      <c r="AJ154" s="44"/>
      <c r="AK154" s="44"/>
      <c r="AL154" s="44"/>
    </row>
    <row r="155">
      <c r="A155" s="92" t="b">
        <v>0</v>
      </c>
      <c r="B155" s="46">
        <v>45771.0</v>
      </c>
      <c r="C155" s="39" t="s">
        <v>157</v>
      </c>
      <c r="D155" s="37" t="s">
        <v>588</v>
      </c>
      <c r="E155" s="37" t="s">
        <v>588</v>
      </c>
      <c r="F155" s="37" t="s">
        <v>529</v>
      </c>
      <c r="G155" s="38">
        <v>1500667.0</v>
      </c>
      <c r="H155" s="39" t="s">
        <v>198</v>
      </c>
      <c r="I155" s="39">
        <v>7.0</v>
      </c>
      <c r="J155" s="38">
        <f t="shared" si="7"/>
        <v>105046.69</v>
      </c>
      <c r="K155" s="38">
        <f t="shared" si="2"/>
        <v>5252.3345</v>
      </c>
      <c r="L155" s="39">
        <v>50.0</v>
      </c>
      <c r="M155" s="38">
        <f t="shared" si="13"/>
        <v>52523.345</v>
      </c>
      <c r="N155" s="38">
        <f>J155*0.31</f>
        <v>32564.4739</v>
      </c>
      <c r="O155" s="38"/>
      <c r="P155" s="38"/>
      <c r="Q155" s="40">
        <f t="shared" ref="Q155:Q156" si="67">J155-M155-N155</f>
        <v>19958.8711</v>
      </c>
      <c r="R155" s="49">
        <v>45777.0</v>
      </c>
      <c r="S155" s="49">
        <v>45912.0</v>
      </c>
      <c r="T155" s="47"/>
      <c r="U155" s="47"/>
      <c r="V155" s="47"/>
      <c r="W155" s="47"/>
      <c r="X155" s="45"/>
      <c r="Y155" s="44"/>
      <c r="Z155" s="44"/>
      <c r="AA155" s="44"/>
      <c r="AB155" s="44"/>
      <c r="AC155" s="44"/>
      <c r="AD155" s="44"/>
      <c r="AE155" s="44"/>
      <c r="AF155" s="44"/>
      <c r="AG155" s="44"/>
      <c r="AH155" s="44"/>
      <c r="AI155" s="44"/>
      <c r="AJ155" s="44"/>
      <c r="AK155" s="44"/>
      <c r="AL155" s="44"/>
    </row>
    <row r="156">
      <c r="A156" s="92" t="b">
        <v>0</v>
      </c>
      <c r="B156" s="46">
        <v>45771.0</v>
      </c>
      <c r="C156" s="39" t="s">
        <v>219</v>
      </c>
      <c r="D156" s="37" t="s">
        <v>589</v>
      </c>
      <c r="E156" s="37" t="s">
        <v>575</v>
      </c>
      <c r="F156" s="95" t="s">
        <v>514</v>
      </c>
      <c r="G156" s="38">
        <v>3658000.0</v>
      </c>
      <c r="H156" s="39" t="s">
        <v>590</v>
      </c>
      <c r="I156" s="39">
        <v>3.0</v>
      </c>
      <c r="J156" s="38">
        <f t="shared" si="7"/>
        <v>109740</v>
      </c>
      <c r="K156" s="38">
        <f t="shared" si="2"/>
        <v>5487</v>
      </c>
      <c r="L156" s="39">
        <v>80.0</v>
      </c>
      <c r="M156" s="38">
        <f t="shared" si="13"/>
        <v>87792</v>
      </c>
      <c r="N156" s="38">
        <f>J156*0.05</f>
        <v>5487</v>
      </c>
      <c r="O156" s="38"/>
      <c r="P156" s="38"/>
      <c r="Q156" s="40">
        <f t="shared" si="67"/>
        <v>16461</v>
      </c>
      <c r="R156" s="49">
        <v>45860.0</v>
      </c>
      <c r="S156" s="49">
        <v>45877.0</v>
      </c>
      <c r="T156" s="47"/>
      <c r="U156" s="47"/>
      <c r="V156" s="47"/>
      <c r="W156" s="47"/>
      <c r="X156" s="45"/>
      <c r="Y156" s="44"/>
      <c r="Z156" s="44"/>
      <c r="AA156" s="44"/>
      <c r="AB156" s="44"/>
      <c r="AC156" s="44"/>
      <c r="AD156" s="44"/>
      <c r="AE156" s="44"/>
      <c r="AF156" s="44"/>
      <c r="AG156" s="44"/>
      <c r="AH156" s="44"/>
      <c r="AI156" s="44"/>
      <c r="AJ156" s="44"/>
      <c r="AK156" s="44"/>
      <c r="AL156" s="44"/>
    </row>
    <row r="157">
      <c r="A157" s="92" t="b">
        <v>0</v>
      </c>
      <c r="B157" s="46">
        <v>45771.0</v>
      </c>
      <c r="C157" s="39" t="s">
        <v>150</v>
      </c>
      <c r="D157" s="37" t="s">
        <v>591</v>
      </c>
      <c r="E157" s="37" t="s">
        <v>592</v>
      </c>
      <c r="F157" s="95" t="s">
        <v>44</v>
      </c>
      <c r="G157" s="38">
        <v>1119334.0</v>
      </c>
      <c r="H157" s="39" t="s">
        <v>576</v>
      </c>
      <c r="I157" s="39">
        <v>2.5</v>
      </c>
      <c r="J157" s="38">
        <f t="shared" si="7"/>
        <v>27983.35</v>
      </c>
      <c r="K157" s="38">
        <f t="shared" si="2"/>
        <v>1399.1675</v>
      </c>
      <c r="L157" s="39">
        <v>88.0</v>
      </c>
      <c r="M157" s="38">
        <f t="shared" si="13"/>
        <v>24625.348</v>
      </c>
      <c r="N157" s="38">
        <f>J157*0.01</f>
        <v>279.8335</v>
      </c>
      <c r="O157" s="38"/>
      <c r="P157" s="38">
        <f>J157*0.0075</f>
        <v>209.875125</v>
      </c>
      <c r="Q157" s="40">
        <f>J157-M157-N157-P157</f>
        <v>2868.293375</v>
      </c>
      <c r="R157" s="49">
        <v>45887.0</v>
      </c>
      <c r="S157" s="49">
        <v>45940.0</v>
      </c>
      <c r="T157" s="39" t="s">
        <v>593</v>
      </c>
      <c r="U157" s="47"/>
      <c r="V157" s="47"/>
      <c r="W157" s="47"/>
      <c r="X157" s="45"/>
      <c r="Y157" s="44"/>
      <c r="Z157" s="44"/>
      <c r="AA157" s="44"/>
      <c r="AB157" s="44"/>
      <c r="AC157" s="44"/>
      <c r="AD157" s="44"/>
      <c r="AE157" s="44"/>
      <c r="AF157" s="44"/>
      <c r="AG157" s="44"/>
      <c r="AH157" s="44"/>
      <c r="AI157" s="44"/>
      <c r="AJ157" s="44"/>
      <c r="AK157" s="44"/>
      <c r="AL157" s="44"/>
    </row>
    <row r="158">
      <c r="A158" s="92" t="b">
        <v>0</v>
      </c>
      <c r="B158" s="46">
        <v>45774.0</v>
      </c>
      <c r="C158" s="39" t="s">
        <v>219</v>
      </c>
      <c r="D158" s="37" t="s">
        <v>583</v>
      </c>
      <c r="E158" s="37" t="s">
        <v>566</v>
      </c>
      <c r="F158" s="37" t="s">
        <v>514</v>
      </c>
      <c r="G158" s="38">
        <v>4011888.0</v>
      </c>
      <c r="H158" s="39" t="s">
        <v>594</v>
      </c>
      <c r="I158" s="39">
        <v>4.0</v>
      </c>
      <c r="J158" s="38">
        <f t="shared" si="7"/>
        <v>160475.52</v>
      </c>
      <c r="K158" s="38">
        <f t="shared" si="2"/>
        <v>8023.776</v>
      </c>
      <c r="L158" s="39">
        <v>65.0</v>
      </c>
      <c r="M158" s="38">
        <f t="shared" si="13"/>
        <v>104309.088</v>
      </c>
      <c r="N158" s="38">
        <f t="shared" ref="N158:N159" si="68">J158*0.05</f>
        <v>8023.776</v>
      </c>
      <c r="O158" s="38"/>
      <c r="P158" s="38"/>
      <c r="Q158" s="40">
        <f t="shared" ref="Q158:Q278" si="69">J158-M158-N158</f>
        <v>48142.656</v>
      </c>
      <c r="R158" s="49">
        <v>45812.0</v>
      </c>
      <c r="S158" s="49">
        <v>45856.0</v>
      </c>
      <c r="T158" s="39" t="s">
        <v>595</v>
      </c>
      <c r="U158" s="47"/>
      <c r="V158" s="47"/>
      <c r="W158" s="47"/>
      <c r="X158" s="45"/>
      <c r="Y158" s="44"/>
      <c r="Z158" s="44"/>
      <c r="AA158" s="44"/>
      <c r="AB158" s="44"/>
      <c r="AC158" s="44"/>
      <c r="AD158" s="44"/>
      <c r="AE158" s="44"/>
      <c r="AF158" s="44"/>
      <c r="AG158" s="44"/>
      <c r="AH158" s="44"/>
      <c r="AI158" s="44"/>
      <c r="AJ158" s="44"/>
      <c r="AK158" s="44"/>
      <c r="AL158" s="44"/>
    </row>
    <row r="159">
      <c r="A159" s="92" t="b">
        <v>0</v>
      </c>
      <c r="B159" s="46">
        <v>45779.0</v>
      </c>
      <c r="C159" s="39" t="s">
        <v>219</v>
      </c>
      <c r="D159" s="37" t="s">
        <v>596</v>
      </c>
      <c r="E159" s="37" t="s">
        <v>221</v>
      </c>
      <c r="F159" s="37" t="s">
        <v>514</v>
      </c>
      <c r="G159" s="38">
        <v>892669.0</v>
      </c>
      <c r="H159" s="39" t="s">
        <v>576</v>
      </c>
      <c r="I159" s="39">
        <v>6.0</v>
      </c>
      <c r="J159" s="38">
        <f t="shared" si="7"/>
        <v>53560.14</v>
      </c>
      <c r="K159" s="38">
        <f t="shared" si="2"/>
        <v>2678.007</v>
      </c>
      <c r="L159" s="39">
        <v>80.0</v>
      </c>
      <c r="M159" s="38">
        <f t="shared" si="13"/>
        <v>42848.112</v>
      </c>
      <c r="N159" s="38">
        <f t="shared" si="68"/>
        <v>2678.007</v>
      </c>
      <c r="O159" s="38"/>
      <c r="P159" s="38"/>
      <c r="Q159" s="40">
        <f t="shared" si="69"/>
        <v>8034.021</v>
      </c>
      <c r="R159" s="49">
        <v>45798.0</v>
      </c>
      <c r="S159" s="35">
        <v>45954.0</v>
      </c>
      <c r="T159" s="39" t="s">
        <v>577</v>
      </c>
      <c r="U159" s="39" t="s">
        <v>597</v>
      </c>
      <c r="V159" s="47"/>
      <c r="W159" s="47"/>
      <c r="X159" s="45"/>
      <c r="Y159" s="44"/>
      <c r="Z159" s="44"/>
      <c r="AA159" s="44"/>
      <c r="AB159" s="44"/>
      <c r="AC159" s="44"/>
      <c r="AD159" s="44"/>
      <c r="AE159" s="44"/>
      <c r="AF159" s="44"/>
      <c r="AG159" s="44"/>
      <c r="AH159" s="44"/>
      <c r="AI159" s="44"/>
      <c r="AJ159" s="44"/>
      <c r="AK159" s="44"/>
      <c r="AL159" s="44"/>
    </row>
    <row r="160">
      <c r="A160" s="92" t="b">
        <v>0</v>
      </c>
      <c r="B160" s="46">
        <v>45779.0</v>
      </c>
      <c r="C160" s="39" t="s">
        <v>150</v>
      </c>
      <c r="D160" s="37" t="s">
        <v>598</v>
      </c>
      <c r="E160" s="37" t="s">
        <v>579</v>
      </c>
      <c r="F160" s="37" t="s">
        <v>580</v>
      </c>
      <c r="G160" s="38">
        <v>2959728.0</v>
      </c>
      <c r="H160" s="39" t="s">
        <v>599</v>
      </c>
      <c r="I160" s="39">
        <v>8.0</v>
      </c>
      <c r="J160" s="38">
        <v>225503.0</v>
      </c>
      <c r="K160" s="38">
        <f t="shared" si="2"/>
        <v>11275.15</v>
      </c>
      <c r="L160" s="39">
        <v>88.0</v>
      </c>
      <c r="M160" s="38">
        <f t="shared" si="13"/>
        <v>198442.64</v>
      </c>
      <c r="N160" s="38">
        <f t="shared" ref="N160:N161" si="70">J160*0.01</f>
        <v>2255.03</v>
      </c>
      <c r="O160" s="38"/>
      <c r="P160" s="38"/>
      <c r="Q160" s="40">
        <f t="shared" si="69"/>
        <v>24805.33</v>
      </c>
      <c r="R160" s="49">
        <v>45811.0</v>
      </c>
      <c r="S160" s="49">
        <v>45839.0</v>
      </c>
      <c r="T160" s="47"/>
      <c r="U160" s="47"/>
      <c r="V160" s="47"/>
      <c r="W160" s="47"/>
      <c r="X160" s="45"/>
      <c r="Y160" s="44"/>
      <c r="Z160" s="44"/>
      <c r="AA160" s="44"/>
      <c r="AB160" s="44"/>
      <c r="AC160" s="44"/>
      <c r="AD160" s="44"/>
      <c r="AE160" s="44"/>
      <c r="AF160" s="44"/>
      <c r="AG160" s="44"/>
      <c r="AH160" s="44"/>
      <c r="AI160" s="44"/>
      <c r="AJ160" s="44"/>
      <c r="AK160" s="44"/>
      <c r="AL160" s="44"/>
    </row>
    <row r="161">
      <c r="A161" s="92" t="b">
        <v>0</v>
      </c>
      <c r="B161" s="46">
        <v>45780.0</v>
      </c>
      <c r="C161" s="39" t="s">
        <v>150</v>
      </c>
      <c r="D161" s="37" t="s">
        <v>600</v>
      </c>
      <c r="E161" s="37" t="s">
        <v>426</v>
      </c>
      <c r="F161" s="37" t="s">
        <v>481</v>
      </c>
      <c r="G161" s="38">
        <v>1169315.84</v>
      </c>
      <c r="H161" s="39" t="s">
        <v>506</v>
      </c>
      <c r="I161" s="39">
        <v>6.0</v>
      </c>
      <c r="J161" s="38">
        <f t="shared" ref="J161:J199" si="71">(G161*I161)/100</f>
        <v>70158.9504</v>
      </c>
      <c r="K161" s="38">
        <f t="shared" si="2"/>
        <v>3507.94752</v>
      </c>
      <c r="L161" s="39">
        <v>88.0</v>
      </c>
      <c r="M161" s="38">
        <f t="shared" si="13"/>
        <v>61739.87635</v>
      </c>
      <c r="N161" s="38">
        <f t="shared" si="70"/>
        <v>701.589504</v>
      </c>
      <c r="O161" s="38"/>
      <c r="P161" s="38">
        <f>J161*0.0025</f>
        <v>175.397376</v>
      </c>
      <c r="Q161" s="40">
        <f t="shared" si="69"/>
        <v>7717.484544</v>
      </c>
      <c r="R161" s="49">
        <v>45875.0</v>
      </c>
      <c r="S161" s="49">
        <v>45887.0</v>
      </c>
      <c r="T161" s="47"/>
      <c r="U161" s="47"/>
      <c r="V161" s="47"/>
      <c r="W161" s="47"/>
      <c r="X161" s="45"/>
      <c r="Y161" s="44"/>
      <c r="Z161" s="44"/>
      <c r="AA161" s="44"/>
      <c r="AB161" s="44"/>
      <c r="AC161" s="44"/>
      <c r="AD161" s="44"/>
      <c r="AE161" s="44"/>
      <c r="AF161" s="44"/>
      <c r="AG161" s="44"/>
      <c r="AH161" s="44"/>
      <c r="AI161" s="44"/>
      <c r="AJ161" s="44"/>
      <c r="AK161" s="44"/>
      <c r="AL161" s="44"/>
    </row>
    <row r="162">
      <c r="A162" s="92" t="b">
        <v>0</v>
      </c>
      <c r="B162" s="46">
        <v>45791.0</v>
      </c>
      <c r="C162" s="39" t="s">
        <v>219</v>
      </c>
      <c r="D162" s="37" t="s">
        <v>601</v>
      </c>
      <c r="E162" s="37" t="s">
        <v>184</v>
      </c>
      <c r="F162" s="37"/>
      <c r="G162" s="38">
        <v>6479003.0</v>
      </c>
      <c r="H162" s="39" t="s">
        <v>185</v>
      </c>
      <c r="I162" s="39">
        <v>4.0</v>
      </c>
      <c r="J162" s="38">
        <f t="shared" si="71"/>
        <v>259160.12</v>
      </c>
      <c r="K162" s="38">
        <f t="shared" si="2"/>
        <v>12958.006</v>
      </c>
      <c r="L162" s="39">
        <v>88.0</v>
      </c>
      <c r="M162" s="38">
        <f t="shared" si="13"/>
        <v>228060.9056</v>
      </c>
      <c r="N162" s="38"/>
      <c r="O162" s="38"/>
      <c r="P162" s="38"/>
      <c r="Q162" s="40">
        <f t="shared" si="69"/>
        <v>31099.2144</v>
      </c>
      <c r="R162" s="39"/>
      <c r="S162" s="49">
        <v>45850.0</v>
      </c>
      <c r="T162" s="47"/>
      <c r="U162" s="47"/>
      <c r="V162" s="47"/>
      <c r="W162" s="47"/>
      <c r="X162" s="45"/>
      <c r="Y162" s="44"/>
      <c r="Z162" s="44"/>
      <c r="AA162" s="44"/>
      <c r="AB162" s="44"/>
      <c r="AC162" s="44"/>
      <c r="AD162" s="44"/>
      <c r="AE162" s="44"/>
      <c r="AF162" s="44"/>
      <c r="AG162" s="44"/>
      <c r="AH162" s="44"/>
      <c r="AI162" s="44"/>
      <c r="AJ162" s="44"/>
      <c r="AK162" s="44"/>
      <c r="AL162" s="44"/>
    </row>
    <row r="163">
      <c r="A163" s="92" t="b">
        <v>0</v>
      </c>
      <c r="B163" s="46">
        <v>45792.0</v>
      </c>
      <c r="C163" s="39" t="s">
        <v>219</v>
      </c>
      <c r="D163" s="37" t="s">
        <v>602</v>
      </c>
      <c r="E163" s="37" t="s">
        <v>513</v>
      </c>
      <c r="F163" s="37" t="s">
        <v>514</v>
      </c>
      <c r="G163" s="38">
        <v>2818828.0</v>
      </c>
      <c r="H163" s="39" t="s">
        <v>191</v>
      </c>
      <c r="I163" s="39">
        <v>5.0</v>
      </c>
      <c r="J163" s="38">
        <f t="shared" si="71"/>
        <v>140941.4</v>
      </c>
      <c r="K163" s="38">
        <f t="shared" si="2"/>
        <v>7047.07</v>
      </c>
      <c r="L163" s="39">
        <v>80.0</v>
      </c>
      <c r="M163" s="38">
        <f t="shared" si="13"/>
        <v>112753.12</v>
      </c>
      <c r="N163" s="38">
        <f>J163*0.05</f>
        <v>7047.07</v>
      </c>
      <c r="O163" s="38"/>
      <c r="P163" s="38"/>
      <c r="Q163" s="40">
        <f t="shared" si="69"/>
        <v>21141.21</v>
      </c>
      <c r="R163" s="39" t="s">
        <v>603</v>
      </c>
      <c r="S163" s="49">
        <v>45939.0</v>
      </c>
      <c r="T163" s="47"/>
      <c r="U163" s="47"/>
      <c r="V163" s="47"/>
      <c r="W163" s="47"/>
      <c r="X163" s="45"/>
      <c r="Y163" s="44"/>
      <c r="Z163" s="44"/>
      <c r="AA163" s="44"/>
      <c r="AB163" s="44"/>
      <c r="AC163" s="44"/>
      <c r="AD163" s="44"/>
      <c r="AE163" s="44"/>
      <c r="AF163" s="44"/>
      <c r="AG163" s="44"/>
      <c r="AH163" s="44"/>
      <c r="AI163" s="44"/>
      <c r="AJ163" s="44"/>
      <c r="AK163" s="44"/>
      <c r="AL163" s="44"/>
    </row>
    <row r="164" ht="15.0" customHeight="1">
      <c r="A164" s="92" t="b">
        <v>0</v>
      </c>
      <c r="B164" s="46">
        <v>45796.0</v>
      </c>
      <c r="C164" s="39" t="s">
        <v>157</v>
      </c>
      <c r="D164" s="37" t="s">
        <v>604</v>
      </c>
      <c r="E164" s="37" t="s">
        <v>605</v>
      </c>
      <c r="F164" s="37" t="s">
        <v>157</v>
      </c>
      <c r="G164" s="38">
        <v>1222486.0</v>
      </c>
      <c r="H164" s="39" t="s">
        <v>506</v>
      </c>
      <c r="I164" s="39">
        <v>6.0</v>
      </c>
      <c r="J164" s="38">
        <f t="shared" si="71"/>
        <v>73349.16</v>
      </c>
      <c r="K164" s="38">
        <f t="shared" si="2"/>
        <v>3667.458</v>
      </c>
      <c r="L164" s="39">
        <v>88.0</v>
      </c>
      <c r="M164" s="38">
        <f t="shared" si="13"/>
        <v>64547.2608</v>
      </c>
      <c r="N164" s="38"/>
      <c r="O164" s="38"/>
      <c r="P164" s="38"/>
      <c r="Q164" s="40">
        <f t="shared" si="69"/>
        <v>8801.8992</v>
      </c>
      <c r="R164" s="49">
        <v>45870.0</v>
      </c>
      <c r="S164" s="49">
        <v>45884.0</v>
      </c>
      <c r="T164" s="47"/>
      <c r="U164" s="47"/>
      <c r="V164" s="47"/>
      <c r="W164" s="47"/>
      <c r="X164" s="45"/>
      <c r="Y164" s="44"/>
      <c r="Z164" s="44"/>
      <c r="AA164" s="44"/>
      <c r="AB164" s="44"/>
      <c r="AC164" s="44"/>
      <c r="AD164" s="44"/>
      <c r="AE164" s="44"/>
      <c r="AF164" s="44"/>
      <c r="AG164" s="44"/>
      <c r="AH164" s="44"/>
      <c r="AI164" s="44"/>
      <c r="AJ164" s="44"/>
      <c r="AK164" s="44"/>
      <c r="AL164" s="44"/>
    </row>
    <row r="165">
      <c r="A165" s="92" t="b">
        <v>1</v>
      </c>
      <c r="B165" s="96">
        <v>45800.0</v>
      </c>
      <c r="C165" s="50" t="s">
        <v>150</v>
      </c>
      <c r="D165" s="97" t="s">
        <v>606</v>
      </c>
      <c r="E165" s="97" t="s">
        <v>249</v>
      </c>
      <c r="F165" s="97" t="s">
        <v>44</v>
      </c>
      <c r="G165" s="98">
        <v>1583680.0</v>
      </c>
      <c r="H165" s="50" t="s">
        <v>230</v>
      </c>
      <c r="I165" s="50">
        <v>5.0</v>
      </c>
      <c r="J165" s="98">
        <f t="shared" si="71"/>
        <v>79184</v>
      </c>
      <c r="K165" s="98">
        <f t="shared" si="2"/>
        <v>3959.2</v>
      </c>
      <c r="L165" s="50">
        <v>88.0</v>
      </c>
      <c r="M165" s="98">
        <f t="shared" si="13"/>
        <v>69681.92</v>
      </c>
      <c r="N165" s="98"/>
      <c r="O165" s="98"/>
      <c r="P165" s="98"/>
      <c r="Q165" s="99">
        <f t="shared" si="69"/>
        <v>9502.08</v>
      </c>
      <c r="R165" s="50"/>
      <c r="S165" s="50"/>
      <c r="T165" s="50" t="s">
        <v>607</v>
      </c>
      <c r="U165" s="51"/>
      <c r="V165" s="51"/>
      <c r="W165" s="51"/>
      <c r="X165" s="55"/>
      <c r="Y165" s="53"/>
      <c r="Z165" s="53"/>
      <c r="AA165" s="53"/>
      <c r="AB165" s="53"/>
      <c r="AC165" s="53"/>
      <c r="AD165" s="53"/>
      <c r="AE165" s="53"/>
      <c r="AF165" s="53"/>
      <c r="AG165" s="53"/>
      <c r="AH165" s="53"/>
      <c r="AI165" s="53"/>
      <c r="AJ165" s="53"/>
      <c r="AK165" s="53"/>
      <c r="AL165" s="53"/>
    </row>
    <row r="166">
      <c r="A166" s="92" t="b">
        <v>0</v>
      </c>
      <c r="B166" s="46">
        <v>45807.0</v>
      </c>
      <c r="C166" s="39" t="s">
        <v>219</v>
      </c>
      <c r="D166" s="37" t="s">
        <v>608</v>
      </c>
      <c r="E166" s="37" t="s">
        <v>575</v>
      </c>
      <c r="F166" s="37" t="s">
        <v>514</v>
      </c>
      <c r="G166" s="38">
        <v>1069215.0</v>
      </c>
      <c r="H166" s="39" t="s">
        <v>609</v>
      </c>
      <c r="I166" s="39">
        <v>6.0</v>
      </c>
      <c r="J166" s="38">
        <f t="shared" si="71"/>
        <v>64152.9</v>
      </c>
      <c r="K166" s="38">
        <f t="shared" si="2"/>
        <v>3207.645</v>
      </c>
      <c r="L166" s="39">
        <v>80.0</v>
      </c>
      <c r="M166" s="38">
        <f t="shared" si="13"/>
        <v>51322.32</v>
      </c>
      <c r="N166" s="38">
        <f t="shared" ref="N166:N167" si="72">J166*0.05</f>
        <v>3207.645</v>
      </c>
      <c r="O166" s="38"/>
      <c r="P166" s="38"/>
      <c r="Q166" s="40">
        <f t="shared" si="69"/>
        <v>9622.935</v>
      </c>
      <c r="R166" s="49">
        <v>45811.0</v>
      </c>
      <c r="S166" s="49">
        <v>45842.0</v>
      </c>
      <c r="T166" s="47"/>
      <c r="U166" s="47"/>
      <c r="V166" s="47"/>
      <c r="W166" s="47"/>
      <c r="X166" s="45"/>
      <c r="Y166" s="44"/>
      <c r="Z166" s="44"/>
      <c r="AA166" s="44"/>
      <c r="AB166" s="44"/>
      <c r="AC166" s="44"/>
      <c r="AD166" s="44"/>
      <c r="AE166" s="44"/>
      <c r="AF166" s="44"/>
      <c r="AG166" s="44"/>
      <c r="AH166" s="44"/>
      <c r="AI166" s="44"/>
      <c r="AJ166" s="44"/>
      <c r="AK166" s="44"/>
      <c r="AL166" s="44"/>
    </row>
    <row r="167">
      <c r="A167" s="92" t="b">
        <v>0</v>
      </c>
      <c r="B167" s="46">
        <v>45807.0</v>
      </c>
      <c r="C167" s="39" t="s">
        <v>219</v>
      </c>
      <c r="D167" s="37" t="s">
        <v>608</v>
      </c>
      <c r="E167" s="37" t="s">
        <v>575</v>
      </c>
      <c r="F167" s="37" t="s">
        <v>514</v>
      </c>
      <c r="G167" s="38">
        <v>1119946.0</v>
      </c>
      <c r="H167" s="39" t="s">
        <v>609</v>
      </c>
      <c r="I167" s="39">
        <v>6.0</v>
      </c>
      <c r="J167" s="38">
        <f t="shared" si="71"/>
        <v>67196.76</v>
      </c>
      <c r="K167" s="38">
        <f t="shared" si="2"/>
        <v>3359.838</v>
      </c>
      <c r="L167" s="39">
        <v>80.0</v>
      </c>
      <c r="M167" s="38">
        <f t="shared" si="13"/>
        <v>53757.408</v>
      </c>
      <c r="N167" s="38">
        <f t="shared" si="72"/>
        <v>3359.838</v>
      </c>
      <c r="O167" s="38"/>
      <c r="P167" s="38"/>
      <c r="Q167" s="40">
        <f t="shared" si="69"/>
        <v>10079.514</v>
      </c>
      <c r="R167" s="49">
        <v>45811.0</v>
      </c>
      <c r="S167" s="49">
        <v>45842.0</v>
      </c>
      <c r="T167" s="47"/>
      <c r="U167" s="47"/>
      <c r="V167" s="47"/>
      <c r="W167" s="47"/>
      <c r="X167" s="45"/>
      <c r="Y167" s="44"/>
      <c r="Z167" s="44"/>
      <c r="AA167" s="44"/>
      <c r="AB167" s="44"/>
      <c r="AC167" s="44"/>
      <c r="AD167" s="44"/>
      <c r="AE167" s="44"/>
      <c r="AF167" s="44"/>
      <c r="AG167" s="44"/>
      <c r="AH167" s="44"/>
      <c r="AI167" s="44"/>
      <c r="AJ167" s="44"/>
      <c r="AK167" s="44"/>
      <c r="AL167" s="44"/>
    </row>
    <row r="168">
      <c r="A168" s="92" t="b">
        <v>0</v>
      </c>
      <c r="B168" s="46">
        <v>45811.0</v>
      </c>
      <c r="C168" s="39" t="s">
        <v>150</v>
      </c>
      <c r="D168" s="37" t="s">
        <v>610</v>
      </c>
      <c r="E168" s="37" t="s">
        <v>434</v>
      </c>
      <c r="F168" s="37" t="s">
        <v>611</v>
      </c>
      <c r="G168" s="38">
        <v>1200000.0</v>
      </c>
      <c r="H168" s="39" t="s">
        <v>223</v>
      </c>
      <c r="I168" s="39">
        <v>7.0</v>
      </c>
      <c r="J168" s="38">
        <f t="shared" si="71"/>
        <v>84000</v>
      </c>
      <c r="K168" s="38">
        <f t="shared" si="2"/>
        <v>4200</v>
      </c>
      <c r="L168" s="39">
        <v>88.0</v>
      </c>
      <c r="M168" s="38">
        <f t="shared" si="13"/>
        <v>73920</v>
      </c>
      <c r="N168" s="38">
        <f t="shared" ref="N168:N169" si="73">J168*0.01</f>
        <v>840</v>
      </c>
      <c r="O168" s="38"/>
      <c r="P168" s="38"/>
      <c r="Q168" s="40">
        <f t="shared" si="69"/>
        <v>9240</v>
      </c>
      <c r="R168" s="49">
        <v>45854.0</v>
      </c>
      <c r="S168" s="49">
        <v>45877.0</v>
      </c>
      <c r="T168" s="47"/>
      <c r="U168" s="47"/>
      <c r="V168" s="47"/>
      <c r="W168" s="47"/>
      <c r="X168" s="45"/>
      <c r="Y168" s="44"/>
      <c r="Z168" s="44"/>
      <c r="AA168" s="44"/>
      <c r="AB168" s="44"/>
      <c r="AC168" s="44"/>
      <c r="AD168" s="44"/>
      <c r="AE168" s="44"/>
      <c r="AF168" s="44"/>
      <c r="AG168" s="44"/>
      <c r="AH168" s="44"/>
      <c r="AI168" s="44"/>
      <c r="AJ168" s="44"/>
      <c r="AK168" s="44"/>
      <c r="AL168" s="44"/>
    </row>
    <row r="169">
      <c r="A169" s="92" t="b">
        <v>0</v>
      </c>
      <c r="B169" s="46">
        <v>45813.0</v>
      </c>
      <c r="C169" s="39" t="s">
        <v>150</v>
      </c>
      <c r="D169" s="37" t="s">
        <v>612</v>
      </c>
      <c r="E169" s="37" t="s">
        <v>613</v>
      </c>
      <c r="F169" s="37" t="s">
        <v>614</v>
      </c>
      <c r="G169" s="38">
        <v>985777.0</v>
      </c>
      <c r="H169" s="39" t="s">
        <v>405</v>
      </c>
      <c r="I169" s="39">
        <v>6.0</v>
      </c>
      <c r="J169" s="38">
        <f t="shared" si="71"/>
        <v>59146.62</v>
      </c>
      <c r="K169" s="38">
        <f t="shared" si="2"/>
        <v>2957.331</v>
      </c>
      <c r="L169" s="39">
        <v>88.0</v>
      </c>
      <c r="M169" s="38">
        <f t="shared" si="13"/>
        <v>52049.0256</v>
      </c>
      <c r="N169" s="38">
        <f t="shared" si="73"/>
        <v>591.4662</v>
      </c>
      <c r="O169" s="38"/>
      <c r="P169" s="38"/>
      <c r="Q169" s="40">
        <f t="shared" si="69"/>
        <v>6506.1282</v>
      </c>
      <c r="R169" s="49">
        <v>45819.0</v>
      </c>
      <c r="S169" s="49">
        <v>45832.0</v>
      </c>
      <c r="T169" s="47"/>
      <c r="U169" s="47"/>
      <c r="V169" s="47"/>
      <c r="W169" s="47"/>
      <c r="X169" s="45"/>
      <c r="Y169" s="44"/>
      <c r="Z169" s="44"/>
      <c r="AA169" s="44"/>
      <c r="AB169" s="44"/>
      <c r="AC169" s="44"/>
      <c r="AD169" s="44"/>
      <c r="AE169" s="44"/>
      <c r="AF169" s="44"/>
      <c r="AG169" s="44"/>
      <c r="AH169" s="44"/>
      <c r="AI169" s="44"/>
      <c r="AJ169" s="44"/>
      <c r="AK169" s="44"/>
      <c r="AL169" s="44"/>
    </row>
    <row r="170">
      <c r="A170" s="92" t="b">
        <v>0</v>
      </c>
      <c r="B170" s="46">
        <v>45819.0</v>
      </c>
      <c r="C170" s="39" t="s">
        <v>219</v>
      </c>
      <c r="D170" s="37" t="s">
        <v>615</v>
      </c>
      <c r="E170" s="37" t="s">
        <v>513</v>
      </c>
      <c r="F170" s="37" t="s">
        <v>514</v>
      </c>
      <c r="G170" s="38">
        <v>1659828.0</v>
      </c>
      <c r="H170" s="39" t="s">
        <v>191</v>
      </c>
      <c r="I170" s="39">
        <v>5.0</v>
      </c>
      <c r="J170" s="38">
        <f t="shared" si="71"/>
        <v>82991.4</v>
      </c>
      <c r="K170" s="38">
        <f t="shared" si="2"/>
        <v>4149.57</v>
      </c>
      <c r="L170" s="39">
        <v>65.0</v>
      </c>
      <c r="M170" s="38">
        <f t="shared" si="13"/>
        <v>53944.41</v>
      </c>
      <c r="N170" s="38">
        <f t="shared" ref="N170:N172" si="74">J170*0.05</f>
        <v>4149.57</v>
      </c>
      <c r="O170" s="38"/>
      <c r="P170" s="38"/>
      <c r="Q170" s="40">
        <f t="shared" si="69"/>
        <v>24897.42</v>
      </c>
      <c r="R170" s="49">
        <v>45848.0</v>
      </c>
      <c r="S170" s="49">
        <v>45870.0</v>
      </c>
      <c r="T170" s="47"/>
      <c r="U170" s="47"/>
      <c r="V170" s="47"/>
      <c r="W170" s="47"/>
      <c r="X170" s="45"/>
      <c r="Y170" s="44"/>
      <c r="Z170" s="44"/>
      <c r="AA170" s="44"/>
      <c r="AB170" s="44"/>
      <c r="AC170" s="44"/>
      <c r="AD170" s="44"/>
      <c r="AE170" s="44"/>
      <c r="AF170" s="44"/>
      <c r="AG170" s="44"/>
      <c r="AH170" s="44"/>
      <c r="AI170" s="44"/>
      <c r="AJ170" s="44"/>
      <c r="AK170" s="44"/>
      <c r="AL170" s="44"/>
    </row>
    <row r="171">
      <c r="A171" s="92" t="s">
        <v>127</v>
      </c>
      <c r="B171" s="46" t="s">
        <v>616</v>
      </c>
      <c r="C171" s="39" t="s">
        <v>219</v>
      </c>
      <c r="D171" s="37" t="s">
        <v>617</v>
      </c>
      <c r="E171" s="37" t="s">
        <v>513</v>
      </c>
      <c r="F171" s="37" t="s">
        <v>514</v>
      </c>
      <c r="G171" s="38">
        <v>4187450.87</v>
      </c>
      <c r="H171" s="39" t="s">
        <v>618</v>
      </c>
      <c r="I171" s="39">
        <v>5.0</v>
      </c>
      <c r="J171" s="38">
        <f t="shared" si="71"/>
        <v>209372.5435</v>
      </c>
      <c r="K171" s="38">
        <f t="shared" si="2"/>
        <v>10468.62718</v>
      </c>
      <c r="L171" s="39">
        <v>50.0</v>
      </c>
      <c r="M171" s="38">
        <f t="shared" si="13"/>
        <v>104686.2718</v>
      </c>
      <c r="N171" s="38">
        <f t="shared" si="74"/>
        <v>10468.62718</v>
      </c>
      <c r="O171" s="38"/>
      <c r="P171" s="38"/>
      <c r="Q171" s="40">
        <f t="shared" si="69"/>
        <v>94217.64458</v>
      </c>
      <c r="R171" s="49">
        <v>45819.0</v>
      </c>
      <c r="S171" s="49">
        <v>45828.0</v>
      </c>
      <c r="T171" s="47"/>
      <c r="U171" s="47"/>
      <c r="V171" s="47"/>
      <c r="W171" s="47"/>
      <c r="X171" s="45"/>
      <c r="Y171" s="43"/>
      <c r="Z171" s="43"/>
      <c r="AA171" s="43"/>
      <c r="AB171" s="43"/>
      <c r="AC171" s="43"/>
      <c r="AD171" s="43"/>
      <c r="AE171" s="43"/>
      <c r="AF171" s="43"/>
      <c r="AG171" s="43"/>
      <c r="AH171" s="43"/>
      <c r="AI171" s="43"/>
      <c r="AJ171" s="43"/>
      <c r="AK171" s="43"/>
      <c r="AL171" s="43"/>
    </row>
    <row r="172">
      <c r="A172" s="92" t="s">
        <v>619</v>
      </c>
      <c r="B172" s="100" t="s">
        <v>620</v>
      </c>
      <c r="C172" s="101" t="s">
        <v>219</v>
      </c>
      <c r="D172" s="102" t="s">
        <v>621</v>
      </c>
      <c r="E172" s="102" t="s">
        <v>570</v>
      </c>
      <c r="F172" s="102" t="s">
        <v>514</v>
      </c>
      <c r="G172" s="103">
        <v>3230896.0</v>
      </c>
      <c r="H172" s="101" t="s">
        <v>576</v>
      </c>
      <c r="I172" s="101">
        <v>7.0</v>
      </c>
      <c r="J172" s="103">
        <f t="shared" si="71"/>
        <v>226162.72</v>
      </c>
      <c r="K172" s="103">
        <f t="shared" si="2"/>
        <v>11308.136</v>
      </c>
      <c r="L172" s="101">
        <v>80.0</v>
      </c>
      <c r="M172" s="103">
        <f t="shared" si="13"/>
        <v>180930.176</v>
      </c>
      <c r="N172" s="103">
        <f t="shared" si="74"/>
        <v>11308.136</v>
      </c>
      <c r="O172" s="103"/>
      <c r="P172" s="103"/>
      <c r="Q172" s="104">
        <f t="shared" si="69"/>
        <v>33924.408</v>
      </c>
      <c r="R172" s="101"/>
      <c r="S172" s="101"/>
      <c r="T172" s="105"/>
      <c r="U172" s="105"/>
      <c r="V172" s="105"/>
      <c r="W172" s="105"/>
      <c r="X172" s="5"/>
      <c r="Y172" s="106"/>
      <c r="Z172" s="106"/>
      <c r="AA172" s="106"/>
      <c r="AB172" s="106"/>
      <c r="AC172" s="106"/>
      <c r="AD172" s="106"/>
      <c r="AE172" s="106"/>
      <c r="AF172" s="106"/>
      <c r="AG172" s="106"/>
      <c r="AH172" s="106"/>
      <c r="AI172" s="106"/>
      <c r="AJ172" s="106"/>
      <c r="AK172" s="106"/>
      <c r="AL172" s="106"/>
    </row>
    <row r="173">
      <c r="A173" s="92" t="b">
        <v>0</v>
      </c>
      <c r="B173" s="46">
        <v>45824.0</v>
      </c>
      <c r="C173" s="39" t="s">
        <v>150</v>
      </c>
      <c r="D173" s="37" t="s">
        <v>622</v>
      </c>
      <c r="E173" s="37" t="s">
        <v>623</v>
      </c>
      <c r="F173" s="37" t="s">
        <v>624</v>
      </c>
      <c r="G173" s="38">
        <v>1197018.0</v>
      </c>
      <c r="H173" s="39" t="s">
        <v>506</v>
      </c>
      <c r="I173" s="39">
        <v>6.0</v>
      </c>
      <c r="J173" s="38">
        <f t="shared" si="71"/>
        <v>71821.08</v>
      </c>
      <c r="K173" s="38">
        <f t="shared" si="2"/>
        <v>3591.054</v>
      </c>
      <c r="L173" s="39">
        <v>88.0</v>
      </c>
      <c r="M173" s="38">
        <f t="shared" si="13"/>
        <v>63202.5504</v>
      </c>
      <c r="N173" s="38">
        <f t="shared" ref="N173:N174" si="75">J173*0.01</f>
        <v>718.2108</v>
      </c>
      <c r="O173" s="38"/>
      <c r="P173" s="38"/>
      <c r="Q173" s="40">
        <f t="shared" si="69"/>
        <v>7900.3188</v>
      </c>
      <c r="R173" s="49">
        <v>45901.0</v>
      </c>
      <c r="S173" s="49">
        <v>45913.0</v>
      </c>
      <c r="T173" s="47"/>
      <c r="U173" s="47"/>
      <c r="V173" s="47"/>
      <c r="W173" s="47"/>
      <c r="X173" s="45"/>
      <c r="Y173" s="43"/>
      <c r="Z173" s="43"/>
      <c r="AA173" s="43"/>
      <c r="AB173" s="43"/>
      <c r="AC173" s="43"/>
      <c r="AD173" s="43"/>
      <c r="AE173" s="43"/>
      <c r="AF173" s="43"/>
      <c r="AG173" s="43"/>
      <c r="AH173" s="43"/>
      <c r="AI173" s="43"/>
      <c r="AJ173" s="43"/>
      <c r="AK173" s="43"/>
      <c r="AL173" s="43"/>
    </row>
    <row r="174">
      <c r="A174" s="92" t="b">
        <v>0</v>
      </c>
      <c r="B174" s="46">
        <v>45825.0</v>
      </c>
      <c r="C174" s="39" t="s">
        <v>150</v>
      </c>
      <c r="D174" s="37" t="s">
        <v>622</v>
      </c>
      <c r="E174" s="37" t="s">
        <v>623</v>
      </c>
      <c r="F174" s="37" t="s">
        <v>624</v>
      </c>
      <c r="G174" s="38">
        <v>1167685.09</v>
      </c>
      <c r="H174" s="39" t="s">
        <v>625</v>
      </c>
      <c r="I174" s="39">
        <v>5.0</v>
      </c>
      <c r="J174" s="38">
        <f t="shared" si="71"/>
        <v>58384.2545</v>
      </c>
      <c r="K174" s="38">
        <f t="shared" si="2"/>
        <v>2919.212725</v>
      </c>
      <c r="L174" s="39">
        <v>88.0</v>
      </c>
      <c r="M174" s="38">
        <f t="shared" si="13"/>
        <v>51378.14396</v>
      </c>
      <c r="N174" s="38">
        <f t="shared" si="75"/>
        <v>583.842545</v>
      </c>
      <c r="O174" s="38"/>
      <c r="P174" s="38"/>
      <c r="Q174" s="40">
        <f t="shared" si="69"/>
        <v>6422.267995</v>
      </c>
      <c r="R174" s="49">
        <v>45867.0</v>
      </c>
      <c r="S174" s="49">
        <v>45881.0</v>
      </c>
      <c r="T174" s="47"/>
      <c r="U174" s="47"/>
      <c r="V174" s="47"/>
      <c r="W174" s="47"/>
      <c r="X174" s="45"/>
      <c r="Y174" s="43"/>
      <c r="Z174" s="43"/>
      <c r="AA174" s="43"/>
      <c r="AB174" s="43"/>
      <c r="AC174" s="43"/>
      <c r="AD174" s="43"/>
      <c r="AE174" s="43"/>
      <c r="AF174" s="43"/>
      <c r="AG174" s="43"/>
      <c r="AH174" s="43"/>
      <c r="AI174" s="43"/>
      <c r="AJ174" s="43"/>
      <c r="AK174" s="43"/>
      <c r="AL174" s="43"/>
    </row>
    <row r="175">
      <c r="A175" s="92" t="b">
        <v>0</v>
      </c>
      <c r="B175" s="46">
        <v>45826.0</v>
      </c>
      <c r="C175" s="39" t="s">
        <v>157</v>
      </c>
      <c r="D175" s="37" t="s">
        <v>410</v>
      </c>
      <c r="E175" s="37" t="s">
        <v>605</v>
      </c>
      <c r="F175" s="37" t="s">
        <v>157</v>
      </c>
      <c r="G175" s="38">
        <v>6349940.0</v>
      </c>
      <c r="H175" s="39" t="s">
        <v>506</v>
      </c>
      <c r="I175" s="39">
        <v>6.0</v>
      </c>
      <c r="J175" s="38">
        <f t="shared" si="71"/>
        <v>380996.4</v>
      </c>
      <c r="K175" s="38">
        <f t="shared" si="2"/>
        <v>19049.82</v>
      </c>
      <c r="L175" s="39">
        <v>90.0</v>
      </c>
      <c r="M175" s="38">
        <f t="shared" si="13"/>
        <v>342896.76</v>
      </c>
      <c r="N175" s="38"/>
      <c r="O175" s="38"/>
      <c r="P175" s="38"/>
      <c r="Q175" s="40">
        <f t="shared" si="69"/>
        <v>38099.64</v>
      </c>
      <c r="R175" s="49">
        <v>45852.0</v>
      </c>
      <c r="S175" s="49">
        <v>45862.0</v>
      </c>
      <c r="T175" s="47"/>
      <c r="U175" s="47"/>
      <c r="V175" s="47"/>
      <c r="W175" s="47"/>
      <c r="X175" s="45"/>
      <c r="Y175" s="43"/>
      <c r="Z175" s="43"/>
      <c r="AA175" s="43"/>
      <c r="AB175" s="43"/>
      <c r="AC175" s="43"/>
      <c r="AD175" s="43"/>
      <c r="AE175" s="43"/>
      <c r="AF175" s="43"/>
      <c r="AG175" s="43"/>
      <c r="AH175" s="43"/>
      <c r="AI175" s="43"/>
      <c r="AJ175" s="43"/>
      <c r="AK175" s="43"/>
      <c r="AL175" s="43"/>
    </row>
    <row r="176">
      <c r="A176" s="92" t="b">
        <v>0</v>
      </c>
      <c r="B176" s="46">
        <v>45826.0</v>
      </c>
      <c r="C176" s="39" t="s">
        <v>157</v>
      </c>
      <c r="D176" s="37" t="s">
        <v>410</v>
      </c>
      <c r="E176" s="37" t="s">
        <v>605</v>
      </c>
      <c r="F176" s="37" t="s">
        <v>157</v>
      </c>
      <c r="G176" s="38">
        <v>6521560.0</v>
      </c>
      <c r="H176" s="39" t="s">
        <v>506</v>
      </c>
      <c r="I176" s="39">
        <v>6.0</v>
      </c>
      <c r="J176" s="38">
        <f t="shared" si="71"/>
        <v>391293.6</v>
      </c>
      <c r="K176" s="38">
        <f t="shared" si="2"/>
        <v>19564.68</v>
      </c>
      <c r="L176" s="39">
        <v>90.0</v>
      </c>
      <c r="M176" s="38">
        <f t="shared" si="13"/>
        <v>352164.24</v>
      </c>
      <c r="N176" s="38"/>
      <c r="O176" s="38"/>
      <c r="P176" s="38"/>
      <c r="Q176" s="40">
        <f t="shared" si="69"/>
        <v>39129.36</v>
      </c>
      <c r="R176" s="49">
        <v>45852.0</v>
      </c>
      <c r="S176" s="49">
        <v>45862.0</v>
      </c>
      <c r="T176" s="39" t="s">
        <v>626</v>
      </c>
      <c r="U176" s="47"/>
      <c r="V176" s="47"/>
      <c r="W176" s="47"/>
      <c r="X176" s="45"/>
      <c r="Y176" s="43"/>
      <c r="Z176" s="43"/>
      <c r="AA176" s="43"/>
      <c r="AB176" s="43"/>
      <c r="AC176" s="43"/>
      <c r="AD176" s="43"/>
      <c r="AE176" s="43"/>
      <c r="AF176" s="43"/>
      <c r="AG176" s="43"/>
      <c r="AH176" s="43"/>
      <c r="AI176" s="43"/>
      <c r="AJ176" s="43"/>
      <c r="AK176" s="43"/>
      <c r="AL176" s="43"/>
    </row>
    <row r="177">
      <c r="A177" s="92" t="b">
        <v>0</v>
      </c>
      <c r="B177" s="46">
        <v>45826.0</v>
      </c>
      <c r="C177" s="39" t="s">
        <v>150</v>
      </c>
      <c r="D177" s="37" t="s">
        <v>627</v>
      </c>
      <c r="E177" s="37" t="s">
        <v>628</v>
      </c>
      <c r="F177" s="37" t="s">
        <v>629</v>
      </c>
      <c r="G177" s="38">
        <v>7095707.0</v>
      </c>
      <c r="H177" s="39" t="s">
        <v>630</v>
      </c>
      <c r="I177" s="39">
        <v>4.0</v>
      </c>
      <c r="J177" s="38">
        <f t="shared" si="71"/>
        <v>283828.28</v>
      </c>
      <c r="K177" s="38">
        <f t="shared" si="2"/>
        <v>14191.414</v>
      </c>
      <c r="L177" s="39">
        <v>90.0</v>
      </c>
      <c r="M177" s="38">
        <f t="shared" si="13"/>
        <v>255445.452</v>
      </c>
      <c r="N177" s="38">
        <f t="shared" ref="N177:N178" si="76">J177*0.01</f>
        <v>2838.2828</v>
      </c>
      <c r="O177" s="38"/>
      <c r="P177" s="38"/>
      <c r="Q177" s="40">
        <f t="shared" si="69"/>
        <v>25544.5452</v>
      </c>
      <c r="R177" s="49">
        <v>45874.0</v>
      </c>
      <c r="S177" s="49">
        <v>45887.0</v>
      </c>
      <c r="T177" s="47"/>
      <c r="U177" s="47"/>
      <c r="V177" s="47"/>
      <c r="W177" s="47"/>
      <c r="X177" s="45"/>
      <c r="Y177" s="43"/>
      <c r="Z177" s="43"/>
      <c r="AA177" s="43"/>
      <c r="AB177" s="43"/>
      <c r="AC177" s="43"/>
      <c r="AD177" s="43"/>
      <c r="AE177" s="43"/>
      <c r="AF177" s="43"/>
      <c r="AG177" s="43"/>
      <c r="AH177" s="43"/>
      <c r="AI177" s="43"/>
      <c r="AJ177" s="43"/>
      <c r="AK177" s="43"/>
      <c r="AL177" s="43"/>
    </row>
    <row r="178">
      <c r="A178" s="92" t="b">
        <v>0</v>
      </c>
      <c r="B178" s="46">
        <v>45826.0</v>
      </c>
      <c r="C178" s="39" t="s">
        <v>150</v>
      </c>
      <c r="D178" s="37" t="s">
        <v>631</v>
      </c>
      <c r="E178" s="37" t="s">
        <v>628</v>
      </c>
      <c r="F178" s="37" t="s">
        <v>629</v>
      </c>
      <c r="G178" s="38">
        <v>7296774.0</v>
      </c>
      <c r="H178" s="39" t="s">
        <v>630</v>
      </c>
      <c r="I178" s="39">
        <v>4.0</v>
      </c>
      <c r="J178" s="38">
        <f t="shared" si="71"/>
        <v>291870.96</v>
      </c>
      <c r="K178" s="38">
        <f t="shared" si="2"/>
        <v>14593.548</v>
      </c>
      <c r="L178" s="39">
        <v>90.0</v>
      </c>
      <c r="M178" s="38">
        <f t="shared" si="13"/>
        <v>262683.864</v>
      </c>
      <c r="N178" s="38">
        <f t="shared" si="76"/>
        <v>2918.7096</v>
      </c>
      <c r="O178" s="38"/>
      <c r="P178" s="38"/>
      <c r="Q178" s="40">
        <f t="shared" si="69"/>
        <v>26268.3864</v>
      </c>
      <c r="R178" s="49">
        <v>45874.0</v>
      </c>
      <c r="S178" s="49">
        <v>45887.0</v>
      </c>
      <c r="T178" s="47"/>
      <c r="U178" s="47"/>
      <c r="V178" s="47"/>
      <c r="W178" s="47"/>
      <c r="X178" s="45"/>
      <c r="Y178" s="43"/>
      <c r="Z178" s="43"/>
      <c r="AA178" s="43"/>
      <c r="AB178" s="43"/>
      <c r="AC178" s="43"/>
      <c r="AD178" s="43"/>
      <c r="AE178" s="43"/>
      <c r="AF178" s="43"/>
      <c r="AG178" s="43"/>
      <c r="AH178" s="43"/>
      <c r="AI178" s="43"/>
      <c r="AJ178" s="43"/>
      <c r="AK178" s="43"/>
      <c r="AL178" s="43"/>
    </row>
    <row r="179">
      <c r="A179" s="92" t="b">
        <v>0</v>
      </c>
      <c r="B179" s="46">
        <v>45826.0</v>
      </c>
      <c r="C179" s="39" t="s">
        <v>150</v>
      </c>
      <c r="D179" s="37" t="s">
        <v>632</v>
      </c>
      <c r="E179" s="37" t="s">
        <v>633</v>
      </c>
      <c r="F179" s="37" t="s">
        <v>44</v>
      </c>
      <c r="G179" s="38">
        <v>3808063.0</v>
      </c>
      <c r="H179" s="39" t="s">
        <v>630</v>
      </c>
      <c r="I179" s="39">
        <v>4.0</v>
      </c>
      <c r="J179" s="38">
        <f t="shared" si="71"/>
        <v>152322.52</v>
      </c>
      <c r="K179" s="38">
        <f t="shared" si="2"/>
        <v>7616.126</v>
      </c>
      <c r="L179" s="39">
        <v>90.0</v>
      </c>
      <c r="M179" s="38">
        <f t="shared" si="13"/>
        <v>137090.268</v>
      </c>
      <c r="N179" s="38"/>
      <c r="O179" s="38"/>
      <c r="P179" s="38"/>
      <c r="Q179" s="40">
        <f t="shared" si="69"/>
        <v>15232.252</v>
      </c>
      <c r="R179" s="49">
        <v>45874.0</v>
      </c>
      <c r="S179" s="49">
        <v>45887.0</v>
      </c>
      <c r="T179" s="47"/>
      <c r="U179" s="47"/>
      <c r="V179" s="47"/>
      <c r="W179" s="47"/>
      <c r="X179" s="45"/>
      <c r="Y179" s="43"/>
      <c r="Z179" s="43"/>
      <c r="AA179" s="43"/>
      <c r="AB179" s="43"/>
      <c r="AC179" s="43"/>
      <c r="AD179" s="43"/>
      <c r="AE179" s="43"/>
      <c r="AF179" s="43"/>
      <c r="AG179" s="43"/>
      <c r="AH179" s="43"/>
      <c r="AI179" s="43"/>
      <c r="AJ179" s="43"/>
      <c r="AK179" s="43"/>
      <c r="AL179" s="43"/>
    </row>
    <row r="180">
      <c r="A180" s="92" t="b">
        <v>0</v>
      </c>
      <c r="B180" s="46">
        <v>45827.0</v>
      </c>
      <c r="C180" s="39" t="s">
        <v>150</v>
      </c>
      <c r="D180" s="37" t="s">
        <v>634</v>
      </c>
      <c r="E180" s="37" t="s">
        <v>635</v>
      </c>
      <c r="F180" s="37" t="s">
        <v>45</v>
      </c>
      <c r="G180" s="38">
        <v>2736888.0</v>
      </c>
      <c r="H180" s="39" t="s">
        <v>594</v>
      </c>
      <c r="I180" s="39">
        <v>4.0</v>
      </c>
      <c r="J180" s="38">
        <f t="shared" si="71"/>
        <v>109475.52</v>
      </c>
      <c r="K180" s="38">
        <f t="shared" si="2"/>
        <v>5473.776</v>
      </c>
      <c r="L180" s="39">
        <v>90.0</v>
      </c>
      <c r="M180" s="38">
        <f t="shared" si="13"/>
        <v>98527.968</v>
      </c>
      <c r="N180" s="38">
        <f>J180*0.01</f>
        <v>1094.7552</v>
      </c>
      <c r="O180" s="38"/>
      <c r="P180" s="38"/>
      <c r="Q180" s="40">
        <f t="shared" si="69"/>
        <v>9852.7968</v>
      </c>
      <c r="R180" s="39"/>
      <c r="S180" s="49">
        <v>45881.0</v>
      </c>
      <c r="T180" s="47"/>
      <c r="U180" s="47"/>
      <c r="V180" s="47"/>
      <c r="W180" s="47"/>
      <c r="X180" s="45"/>
      <c r="Y180" s="43"/>
      <c r="Z180" s="43"/>
      <c r="AA180" s="43"/>
      <c r="AB180" s="43"/>
      <c r="AC180" s="43"/>
      <c r="AD180" s="43"/>
      <c r="AE180" s="43"/>
      <c r="AF180" s="43"/>
      <c r="AG180" s="43"/>
      <c r="AH180" s="43"/>
      <c r="AI180" s="43"/>
      <c r="AJ180" s="43"/>
      <c r="AK180" s="43"/>
      <c r="AL180" s="43"/>
    </row>
    <row r="181">
      <c r="A181" s="92" t="b">
        <v>0</v>
      </c>
      <c r="B181" s="46">
        <v>45833.0</v>
      </c>
      <c r="C181" s="39" t="s">
        <v>219</v>
      </c>
      <c r="D181" s="37" t="s">
        <v>636</v>
      </c>
      <c r="E181" s="37" t="s">
        <v>637</v>
      </c>
      <c r="F181" s="37"/>
      <c r="G181" s="38">
        <v>2093828.0</v>
      </c>
      <c r="H181" s="39" t="s">
        <v>638</v>
      </c>
      <c r="I181" s="39">
        <v>5.0</v>
      </c>
      <c r="J181" s="38">
        <f t="shared" si="71"/>
        <v>104691.4</v>
      </c>
      <c r="K181" s="38">
        <f t="shared" si="2"/>
        <v>5234.57</v>
      </c>
      <c r="L181" s="39">
        <v>70.0</v>
      </c>
      <c r="M181" s="38">
        <f t="shared" si="13"/>
        <v>73283.98</v>
      </c>
      <c r="N181" s="38"/>
      <c r="O181" s="38"/>
      <c r="P181" s="38"/>
      <c r="Q181" s="40">
        <f t="shared" si="69"/>
        <v>31407.42</v>
      </c>
      <c r="R181" s="49">
        <v>45891.0</v>
      </c>
      <c r="S181" s="35">
        <v>45986.0</v>
      </c>
      <c r="T181" s="39" t="s">
        <v>639</v>
      </c>
      <c r="U181" s="47"/>
      <c r="V181" s="47"/>
      <c r="W181" s="47"/>
      <c r="X181" s="45"/>
      <c r="Y181" s="43"/>
      <c r="Z181" s="43"/>
      <c r="AA181" s="43"/>
      <c r="AB181" s="43"/>
      <c r="AC181" s="43"/>
      <c r="AD181" s="43"/>
      <c r="AE181" s="43"/>
      <c r="AF181" s="43"/>
      <c r="AG181" s="43"/>
      <c r="AH181" s="43"/>
      <c r="AI181" s="43"/>
      <c r="AJ181" s="43"/>
      <c r="AK181" s="43"/>
      <c r="AL181" s="43"/>
    </row>
    <row r="182">
      <c r="A182" s="92" t="b">
        <v>0</v>
      </c>
      <c r="B182" s="46">
        <v>45834.0</v>
      </c>
      <c r="C182" s="39" t="s">
        <v>150</v>
      </c>
      <c r="D182" s="37" t="s">
        <v>640</v>
      </c>
      <c r="E182" s="37" t="s">
        <v>203</v>
      </c>
      <c r="F182" s="37" t="s">
        <v>44</v>
      </c>
      <c r="G182" s="38">
        <v>3100364.39</v>
      </c>
      <c r="H182" s="39" t="s">
        <v>641</v>
      </c>
      <c r="I182" s="39">
        <v>3.0</v>
      </c>
      <c r="J182" s="38">
        <f t="shared" si="71"/>
        <v>93010.9317</v>
      </c>
      <c r="K182" s="38">
        <f t="shared" si="2"/>
        <v>4650.546585</v>
      </c>
      <c r="L182" s="39">
        <v>88.0</v>
      </c>
      <c r="M182" s="38">
        <f t="shared" si="13"/>
        <v>81849.6199</v>
      </c>
      <c r="N182" s="38"/>
      <c r="O182" s="38"/>
      <c r="P182" s="38"/>
      <c r="Q182" s="40">
        <f t="shared" si="69"/>
        <v>11161.3118</v>
      </c>
      <c r="R182" s="39"/>
      <c r="S182" s="49">
        <v>45931.0</v>
      </c>
      <c r="T182" s="47"/>
      <c r="U182" s="47"/>
      <c r="V182" s="47"/>
      <c r="W182" s="47"/>
      <c r="X182" s="45"/>
      <c r="Y182" s="43"/>
      <c r="Z182" s="43"/>
      <c r="AA182" s="43"/>
      <c r="AB182" s="43"/>
      <c r="AC182" s="43"/>
      <c r="AD182" s="43"/>
      <c r="AE182" s="43"/>
      <c r="AF182" s="43"/>
      <c r="AG182" s="43"/>
      <c r="AH182" s="43"/>
      <c r="AI182" s="43"/>
      <c r="AJ182" s="43"/>
      <c r="AK182" s="43"/>
      <c r="AL182" s="43"/>
    </row>
    <row r="183">
      <c r="A183" s="92" t="b">
        <v>0</v>
      </c>
      <c r="B183" s="46">
        <v>45846.0</v>
      </c>
      <c r="C183" s="39" t="s">
        <v>150</v>
      </c>
      <c r="D183" s="37" t="s">
        <v>642</v>
      </c>
      <c r="E183" s="37" t="s">
        <v>643</v>
      </c>
      <c r="F183" s="37" t="s">
        <v>295</v>
      </c>
      <c r="G183" s="38">
        <v>850000.0</v>
      </c>
      <c r="H183" s="39" t="s">
        <v>223</v>
      </c>
      <c r="I183" s="39">
        <v>6.0</v>
      </c>
      <c r="J183" s="38">
        <f t="shared" si="71"/>
        <v>51000</v>
      </c>
      <c r="K183" s="38">
        <f t="shared" si="2"/>
        <v>2550</v>
      </c>
      <c r="L183" s="39">
        <v>70.0</v>
      </c>
      <c r="M183" s="38">
        <f t="shared" si="13"/>
        <v>35700</v>
      </c>
      <c r="N183" s="38">
        <f>J183*0.06</f>
        <v>3060</v>
      </c>
      <c r="O183" s="38"/>
      <c r="P183" s="38"/>
      <c r="Q183" s="40">
        <f t="shared" si="69"/>
        <v>12240</v>
      </c>
      <c r="R183" s="49">
        <v>45884.0</v>
      </c>
      <c r="S183" s="49">
        <v>45891.0</v>
      </c>
      <c r="T183" s="47"/>
      <c r="U183" s="47"/>
      <c r="V183" s="47"/>
      <c r="W183" s="47"/>
      <c r="X183" s="45"/>
      <c r="Y183" s="43"/>
      <c r="Z183" s="43"/>
      <c r="AA183" s="43"/>
      <c r="AB183" s="43"/>
      <c r="AC183" s="43"/>
      <c r="AD183" s="43"/>
      <c r="AE183" s="43"/>
      <c r="AF183" s="43"/>
      <c r="AG183" s="43"/>
      <c r="AH183" s="43"/>
      <c r="AI183" s="43"/>
      <c r="AJ183" s="43"/>
      <c r="AK183" s="43"/>
      <c r="AL183" s="43"/>
    </row>
    <row r="184">
      <c r="A184" s="92" t="b">
        <v>0</v>
      </c>
      <c r="B184" s="46">
        <v>45852.0</v>
      </c>
      <c r="C184" s="39" t="s">
        <v>150</v>
      </c>
      <c r="D184" s="37" t="s">
        <v>644</v>
      </c>
      <c r="E184" s="37" t="s">
        <v>200</v>
      </c>
      <c r="F184" s="38" t="s">
        <v>416</v>
      </c>
      <c r="G184" s="38">
        <v>1200000.0</v>
      </c>
      <c r="H184" s="39" t="s">
        <v>645</v>
      </c>
      <c r="I184" s="39">
        <v>5.0</v>
      </c>
      <c r="J184" s="38">
        <f t="shared" si="71"/>
        <v>60000</v>
      </c>
      <c r="K184" s="38">
        <f t="shared" si="2"/>
        <v>3000</v>
      </c>
      <c r="L184" s="39">
        <v>80.0</v>
      </c>
      <c r="M184" s="38">
        <f t="shared" si="13"/>
        <v>48000</v>
      </c>
      <c r="N184" s="38">
        <f>J184*0.08</f>
        <v>4800</v>
      </c>
      <c r="O184" s="38"/>
      <c r="P184" s="38"/>
      <c r="Q184" s="40">
        <f t="shared" si="69"/>
        <v>7200</v>
      </c>
      <c r="R184" s="35">
        <v>45955.0</v>
      </c>
      <c r="S184" s="35">
        <v>45972.0</v>
      </c>
      <c r="T184" s="47"/>
      <c r="U184" s="47"/>
      <c r="V184" s="47"/>
      <c r="W184" s="47"/>
      <c r="X184" s="45"/>
      <c r="Y184" s="43"/>
      <c r="Z184" s="43"/>
      <c r="AA184" s="43"/>
      <c r="AB184" s="43"/>
      <c r="AC184" s="43"/>
      <c r="AD184" s="43"/>
      <c r="AE184" s="43"/>
      <c r="AF184" s="43"/>
      <c r="AG184" s="43"/>
      <c r="AH184" s="43"/>
      <c r="AI184" s="43"/>
      <c r="AJ184" s="43"/>
      <c r="AK184" s="43"/>
      <c r="AL184" s="43"/>
    </row>
    <row r="185">
      <c r="A185" s="92" t="b">
        <v>1</v>
      </c>
      <c r="B185" s="46">
        <v>45859.0</v>
      </c>
      <c r="C185" s="39" t="s">
        <v>150</v>
      </c>
      <c r="D185" s="37" t="s">
        <v>646</v>
      </c>
      <c r="E185" s="37" t="s">
        <v>623</v>
      </c>
      <c r="F185" s="37" t="s">
        <v>647</v>
      </c>
      <c r="G185" s="38">
        <v>2907888.0</v>
      </c>
      <c r="H185" s="39" t="s">
        <v>594</v>
      </c>
      <c r="I185" s="39">
        <v>4.0</v>
      </c>
      <c r="J185" s="38">
        <f t="shared" si="71"/>
        <v>116315.52</v>
      </c>
      <c r="K185" s="38">
        <f t="shared" si="2"/>
        <v>5815.776</v>
      </c>
      <c r="L185" s="39">
        <v>88.0</v>
      </c>
      <c r="M185" s="38">
        <f t="shared" si="13"/>
        <v>102357.6576</v>
      </c>
      <c r="N185" s="38">
        <f>J185*0.01</f>
        <v>1163.1552</v>
      </c>
      <c r="O185" s="38"/>
      <c r="P185" s="38"/>
      <c r="Q185" s="40">
        <f t="shared" si="69"/>
        <v>12794.7072</v>
      </c>
      <c r="R185" s="49">
        <v>46098.0</v>
      </c>
      <c r="S185" s="49">
        <v>46106.0</v>
      </c>
      <c r="T185" s="47"/>
      <c r="U185" s="47"/>
      <c r="V185" s="47"/>
      <c r="W185" s="47"/>
      <c r="X185" s="45"/>
      <c r="Y185" s="43"/>
      <c r="Z185" s="43"/>
      <c r="AA185" s="43"/>
      <c r="AB185" s="43"/>
      <c r="AC185" s="43"/>
      <c r="AD185" s="43"/>
      <c r="AE185" s="43"/>
      <c r="AF185" s="43"/>
      <c r="AG185" s="43"/>
      <c r="AH185" s="43"/>
      <c r="AI185" s="43"/>
      <c r="AJ185" s="43"/>
      <c r="AK185" s="43"/>
      <c r="AL185" s="43"/>
    </row>
    <row r="186">
      <c r="A186" s="92" t="b">
        <v>0</v>
      </c>
      <c r="B186" s="46">
        <v>45870.0</v>
      </c>
      <c r="C186" s="39" t="s">
        <v>219</v>
      </c>
      <c r="D186" s="37" t="s">
        <v>648</v>
      </c>
      <c r="E186" s="37" t="s">
        <v>649</v>
      </c>
      <c r="F186" s="37" t="s">
        <v>514</v>
      </c>
      <c r="G186" s="38">
        <v>746479.0</v>
      </c>
      <c r="H186" s="39" t="s">
        <v>515</v>
      </c>
      <c r="I186" s="39">
        <v>5.0</v>
      </c>
      <c r="J186" s="38">
        <f t="shared" si="71"/>
        <v>37323.95</v>
      </c>
      <c r="K186" s="38">
        <f t="shared" si="2"/>
        <v>1866.1975</v>
      </c>
      <c r="L186" s="39">
        <v>53.0</v>
      </c>
      <c r="M186" s="38">
        <f t="shared" si="13"/>
        <v>19781.6935</v>
      </c>
      <c r="N186" s="38">
        <f t="shared" ref="N186:N187" si="77">J186*0.05</f>
        <v>1866.1975</v>
      </c>
      <c r="O186" s="38"/>
      <c r="P186" s="38"/>
      <c r="Q186" s="40">
        <f t="shared" si="69"/>
        <v>15676.059</v>
      </c>
      <c r="R186" s="49">
        <v>45929.0</v>
      </c>
      <c r="S186" s="35">
        <v>46009.0</v>
      </c>
      <c r="T186" s="39" t="s">
        <v>650</v>
      </c>
      <c r="U186" s="47"/>
      <c r="V186" s="47"/>
      <c r="W186" s="47"/>
      <c r="X186" s="45"/>
      <c r="Y186" s="43"/>
      <c r="Z186" s="43"/>
      <c r="AA186" s="43"/>
      <c r="AB186" s="43"/>
      <c r="AC186" s="43"/>
      <c r="AD186" s="43"/>
      <c r="AE186" s="43"/>
      <c r="AF186" s="43"/>
      <c r="AG186" s="43"/>
      <c r="AH186" s="43"/>
      <c r="AI186" s="43"/>
      <c r="AJ186" s="43"/>
      <c r="AK186" s="43"/>
      <c r="AL186" s="43"/>
    </row>
    <row r="187">
      <c r="A187" s="92" t="b">
        <v>0</v>
      </c>
      <c r="B187" s="46">
        <v>45883.0</v>
      </c>
      <c r="C187" s="39" t="s">
        <v>219</v>
      </c>
      <c r="D187" s="37" t="s">
        <v>651</v>
      </c>
      <c r="E187" s="37" t="s">
        <v>652</v>
      </c>
      <c r="F187" s="37" t="s">
        <v>514</v>
      </c>
      <c r="G187" s="38">
        <v>798518.9</v>
      </c>
      <c r="H187" s="39" t="s">
        <v>279</v>
      </c>
      <c r="I187" s="39">
        <v>6.0</v>
      </c>
      <c r="J187" s="38">
        <f t="shared" si="71"/>
        <v>47911.134</v>
      </c>
      <c r="K187" s="38">
        <f t="shared" si="2"/>
        <v>2395.5567</v>
      </c>
      <c r="L187" s="39">
        <v>80.0</v>
      </c>
      <c r="M187" s="38">
        <f t="shared" si="13"/>
        <v>38328.9072</v>
      </c>
      <c r="N187" s="38">
        <f t="shared" si="77"/>
        <v>2395.5567</v>
      </c>
      <c r="O187" s="38"/>
      <c r="P187" s="38"/>
      <c r="Q187" s="40">
        <f t="shared" si="69"/>
        <v>7186.6701</v>
      </c>
      <c r="R187" s="49">
        <v>45911.0</v>
      </c>
      <c r="S187" s="49">
        <v>45924.0</v>
      </c>
      <c r="T187" s="47"/>
      <c r="U187" s="47"/>
      <c r="V187" s="47"/>
      <c r="W187" s="47"/>
      <c r="X187" s="45"/>
      <c r="Y187" s="43"/>
      <c r="Z187" s="43"/>
      <c r="AA187" s="43"/>
      <c r="AB187" s="43"/>
      <c r="AC187" s="43"/>
      <c r="AD187" s="43"/>
      <c r="AE187" s="43"/>
      <c r="AF187" s="43"/>
      <c r="AG187" s="43"/>
      <c r="AH187" s="43"/>
      <c r="AI187" s="43"/>
      <c r="AJ187" s="43"/>
      <c r="AK187" s="43"/>
      <c r="AL187" s="43"/>
    </row>
    <row r="188">
      <c r="A188" s="92" t="b">
        <v>0</v>
      </c>
      <c r="B188" s="46">
        <v>45884.0</v>
      </c>
      <c r="C188" s="39" t="s">
        <v>157</v>
      </c>
      <c r="D188" s="37" t="s">
        <v>653</v>
      </c>
      <c r="E188" s="37" t="s">
        <v>654</v>
      </c>
      <c r="F188" s="37" t="s">
        <v>655</v>
      </c>
      <c r="G188" s="38">
        <v>1367112.0</v>
      </c>
      <c r="H188" s="39" t="s">
        <v>506</v>
      </c>
      <c r="I188" s="39">
        <v>5.0</v>
      </c>
      <c r="J188" s="38">
        <f t="shared" si="71"/>
        <v>68355.6</v>
      </c>
      <c r="K188" s="38">
        <f t="shared" si="2"/>
        <v>3417.78</v>
      </c>
      <c r="L188" s="39">
        <v>50.0</v>
      </c>
      <c r="M188" s="38">
        <f t="shared" si="13"/>
        <v>34177.8</v>
      </c>
      <c r="N188" s="38">
        <f>J188*0.31</f>
        <v>21190.236</v>
      </c>
      <c r="O188" s="38"/>
      <c r="P188" s="38"/>
      <c r="Q188" s="40">
        <f t="shared" si="69"/>
        <v>12987.564</v>
      </c>
      <c r="R188" s="49">
        <v>45887.0</v>
      </c>
      <c r="S188" s="49">
        <v>45912.0</v>
      </c>
      <c r="T188" s="47"/>
      <c r="U188" s="47"/>
      <c r="V188" s="47"/>
      <c r="W188" s="47"/>
      <c r="X188" s="45"/>
      <c r="Y188" s="43"/>
      <c r="Z188" s="43"/>
      <c r="AA188" s="43"/>
      <c r="AB188" s="43"/>
      <c r="AC188" s="43"/>
      <c r="AD188" s="43"/>
      <c r="AE188" s="43"/>
      <c r="AF188" s="43"/>
      <c r="AG188" s="43"/>
      <c r="AH188" s="43"/>
      <c r="AI188" s="43"/>
      <c r="AJ188" s="43"/>
      <c r="AK188" s="43"/>
      <c r="AL188" s="43"/>
    </row>
    <row r="189">
      <c r="A189" s="92" t="b">
        <v>0</v>
      </c>
      <c r="B189" s="46">
        <v>45897.0</v>
      </c>
      <c r="C189" s="39" t="s">
        <v>150</v>
      </c>
      <c r="D189" s="37" t="s">
        <v>656</v>
      </c>
      <c r="E189" s="37" t="s">
        <v>200</v>
      </c>
      <c r="F189" s="38" t="s">
        <v>416</v>
      </c>
      <c r="G189" s="38">
        <v>1592750.0</v>
      </c>
      <c r="H189" s="39" t="s">
        <v>179</v>
      </c>
      <c r="I189" s="39">
        <v>5.0</v>
      </c>
      <c r="J189" s="38">
        <f t="shared" si="71"/>
        <v>79637.5</v>
      </c>
      <c r="K189" s="38">
        <f t="shared" si="2"/>
        <v>3981.875</v>
      </c>
      <c r="L189" s="39">
        <v>80.0</v>
      </c>
      <c r="M189" s="38">
        <f t="shared" si="13"/>
        <v>63710</v>
      </c>
      <c r="N189" s="38">
        <f>J189*0.09</f>
        <v>7167.375</v>
      </c>
      <c r="O189" s="38"/>
      <c r="P189" s="38"/>
      <c r="Q189" s="40">
        <f t="shared" si="69"/>
        <v>8760.125</v>
      </c>
      <c r="R189" s="35">
        <v>46009.0</v>
      </c>
      <c r="S189" s="35">
        <v>46020.0</v>
      </c>
      <c r="T189" s="47"/>
      <c r="U189" s="47"/>
      <c r="V189" s="47"/>
      <c r="W189" s="47"/>
      <c r="X189" s="45"/>
      <c r="Y189" s="43"/>
      <c r="Z189" s="43"/>
      <c r="AA189" s="43"/>
      <c r="AB189" s="43"/>
      <c r="AC189" s="43"/>
      <c r="AD189" s="43"/>
      <c r="AE189" s="43"/>
      <c r="AF189" s="43"/>
      <c r="AG189" s="43"/>
      <c r="AH189" s="43"/>
      <c r="AI189" s="43"/>
      <c r="AJ189" s="43"/>
      <c r="AK189" s="43"/>
      <c r="AL189" s="43"/>
    </row>
    <row r="190">
      <c r="A190" s="92" t="b">
        <v>0</v>
      </c>
      <c r="B190" s="46">
        <v>45901.0</v>
      </c>
      <c r="C190" s="39" t="s">
        <v>150</v>
      </c>
      <c r="D190" s="37" t="s">
        <v>543</v>
      </c>
      <c r="E190" s="37" t="s">
        <v>200</v>
      </c>
      <c r="F190" s="38" t="s">
        <v>416</v>
      </c>
      <c r="G190" s="38">
        <v>738973.4</v>
      </c>
      <c r="H190" s="39" t="s">
        <v>515</v>
      </c>
      <c r="I190" s="39">
        <v>5.0</v>
      </c>
      <c r="J190" s="38">
        <f t="shared" si="71"/>
        <v>36948.67</v>
      </c>
      <c r="K190" s="38">
        <f t="shared" si="2"/>
        <v>1847.4335</v>
      </c>
      <c r="L190" s="39">
        <v>80.0</v>
      </c>
      <c r="M190" s="38">
        <f t="shared" si="13"/>
        <v>29558.936</v>
      </c>
      <c r="N190" s="38">
        <f>J190*0.08</f>
        <v>2955.8936</v>
      </c>
      <c r="O190" s="38"/>
      <c r="P190" s="38"/>
      <c r="Q190" s="40">
        <f t="shared" si="69"/>
        <v>4433.8404</v>
      </c>
      <c r="R190" s="49">
        <v>45929.0</v>
      </c>
      <c r="S190" s="35">
        <v>46009.0</v>
      </c>
      <c r="T190" s="39" t="s">
        <v>657</v>
      </c>
      <c r="U190" s="47"/>
      <c r="V190" s="47"/>
      <c r="W190" s="47"/>
      <c r="X190" s="45"/>
      <c r="Y190" s="43"/>
      <c r="Z190" s="43"/>
      <c r="AA190" s="43"/>
      <c r="AB190" s="43"/>
      <c r="AC190" s="43"/>
      <c r="AD190" s="43"/>
      <c r="AE190" s="43"/>
      <c r="AF190" s="43"/>
      <c r="AG190" s="43"/>
      <c r="AH190" s="43"/>
      <c r="AI190" s="43"/>
      <c r="AJ190" s="43"/>
      <c r="AK190" s="43"/>
      <c r="AL190" s="43"/>
    </row>
    <row r="191">
      <c r="A191" s="92" t="b">
        <v>0</v>
      </c>
      <c r="B191" s="46">
        <v>45916.0</v>
      </c>
      <c r="C191" s="39" t="s">
        <v>157</v>
      </c>
      <c r="D191" s="37" t="s">
        <v>658</v>
      </c>
      <c r="E191" s="37" t="s">
        <v>157</v>
      </c>
      <c r="F191" s="37"/>
      <c r="G191" s="38">
        <v>2.506315E7</v>
      </c>
      <c r="H191" s="39" t="s">
        <v>659</v>
      </c>
      <c r="I191" s="39">
        <v>5.0</v>
      </c>
      <c r="J191" s="38">
        <f t="shared" si="71"/>
        <v>1253157.5</v>
      </c>
      <c r="K191" s="38">
        <f t="shared" si="2"/>
        <v>62657.875</v>
      </c>
      <c r="L191" s="39">
        <v>90.0</v>
      </c>
      <c r="M191" s="38">
        <f t="shared" si="13"/>
        <v>1127841.75</v>
      </c>
      <c r="N191" s="38"/>
      <c r="O191" s="38"/>
      <c r="P191" s="38"/>
      <c r="Q191" s="40">
        <f t="shared" si="69"/>
        <v>125315.75</v>
      </c>
      <c r="R191" s="49">
        <v>45927.0</v>
      </c>
      <c r="S191" s="49">
        <v>45938.0</v>
      </c>
      <c r="T191" s="47"/>
      <c r="U191" s="47"/>
      <c r="V191" s="47"/>
      <c r="W191" s="47"/>
      <c r="X191" s="45"/>
      <c r="Y191" s="43"/>
      <c r="Z191" s="43"/>
      <c r="AA191" s="43"/>
      <c r="AB191" s="43"/>
      <c r="AC191" s="43"/>
      <c r="AD191" s="43"/>
      <c r="AE191" s="43"/>
      <c r="AF191" s="43"/>
      <c r="AG191" s="43"/>
      <c r="AH191" s="43"/>
      <c r="AI191" s="43"/>
      <c r="AJ191" s="43"/>
      <c r="AK191" s="43"/>
      <c r="AL191" s="43"/>
    </row>
    <row r="192">
      <c r="A192" s="92" t="b">
        <v>0</v>
      </c>
      <c r="B192" s="46">
        <v>45919.0</v>
      </c>
      <c r="C192" s="39" t="s">
        <v>219</v>
      </c>
      <c r="D192" s="37" t="s">
        <v>660</v>
      </c>
      <c r="E192" s="37" t="s">
        <v>661</v>
      </c>
      <c r="F192" s="37" t="s">
        <v>514</v>
      </c>
      <c r="G192" s="38">
        <v>2412332.0</v>
      </c>
      <c r="H192" s="39" t="s">
        <v>185</v>
      </c>
      <c r="I192" s="39">
        <v>4.0</v>
      </c>
      <c r="J192" s="38">
        <f t="shared" si="71"/>
        <v>96493.28</v>
      </c>
      <c r="K192" s="38">
        <f t="shared" si="2"/>
        <v>4824.664</v>
      </c>
      <c r="L192" s="39">
        <v>50.0</v>
      </c>
      <c r="M192" s="38">
        <f t="shared" si="13"/>
        <v>48246.64</v>
      </c>
      <c r="N192" s="38">
        <f>J192*0.05</f>
        <v>4824.664</v>
      </c>
      <c r="O192" s="38"/>
      <c r="P192" s="38"/>
      <c r="Q192" s="40">
        <f t="shared" si="69"/>
        <v>43421.976</v>
      </c>
      <c r="R192" s="39"/>
      <c r="S192" s="49">
        <v>46073.0</v>
      </c>
      <c r="T192" s="39" t="s">
        <v>662</v>
      </c>
      <c r="U192" s="47"/>
      <c r="V192" s="47"/>
      <c r="W192" s="47"/>
      <c r="X192" s="45"/>
      <c r="Y192" s="43"/>
      <c r="Z192" s="43"/>
      <c r="AA192" s="43"/>
      <c r="AB192" s="43"/>
      <c r="AC192" s="43"/>
      <c r="AD192" s="43"/>
      <c r="AE192" s="43"/>
      <c r="AF192" s="43"/>
      <c r="AG192" s="43"/>
      <c r="AH192" s="43"/>
      <c r="AI192" s="43"/>
      <c r="AJ192" s="43"/>
      <c r="AK192" s="43"/>
      <c r="AL192" s="43"/>
    </row>
    <row r="193">
      <c r="A193" s="92" t="b">
        <v>0</v>
      </c>
      <c r="B193" s="46">
        <v>45925.0</v>
      </c>
      <c r="C193" s="39" t="s">
        <v>150</v>
      </c>
      <c r="D193" s="37" t="s">
        <v>663</v>
      </c>
      <c r="E193" s="37" t="s">
        <v>664</v>
      </c>
      <c r="F193" s="37" t="s">
        <v>665</v>
      </c>
      <c r="G193" s="38">
        <v>1210828.0</v>
      </c>
      <c r="H193" s="39" t="s">
        <v>666</v>
      </c>
      <c r="I193" s="39">
        <v>5.0</v>
      </c>
      <c r="J193" s="38">
        <f t="shared" si="71"/>
        <v>60541.4</v>
      </c>
      <c r="K193" s="38">
        <f t="shared" si="2"/>
        <v>3027.07</v>
      </c>
      <c r="L193" s="39">
        <v>88.0</v>
      </c>
      <c r="M193" s="38">
        <f t="shared" si="13"/>
        <v>53276.432</v>
      </c>
      <c r="N193" s="38">
        <f>J193*0.01</f>
        <v>605.414</v>
      </c>
      <c r="O193" s="38"/>
      <c r="P193" s="38"/>
      <c r="Q193" s="40">
        <f t="shared" si="69"/>
        <v>6659.554</v>
      </c>
      <c r="R193" s="35">
        <v>45947.0</v>
      </c>
      <c r="S193" s="49">
        <v>45671.0</v>
      </c>
      <c r="T193" s="39" t="s">
        <v>667</v>
      </c>
      <c r="U193" s="47"/>
      <c r="V193" s="47"/>
      <c r="W193" s="47"/>
      <c r="X193" s="45"/>
      <c r="Y193" s="43"/>
      <c r="Z193" s="43"/>
      <c r="AA193" s="43"/>
      <c r="AB193" s="43"/>
      <c r="AC193" s="43"/>
      <c r="AD193" s="43"/>
      <c r="AE193" s="43"/>
      <c r="AF193" s="43"/>
      <c r="AG193" s="43"/>
      <c r="AH193" s="43"/>
      <c r="AI193" s="43"/>
      <c r="AJ193" s="43"/>
      <c r="AK193" s="43"/>
      <c r="AL193" s="43"/>
    </row>
    <row r="194">
      <c r="A194" s="92" t="b">
        <v>1</v>
      </c>
      <c r="B194" s="100">
        <v>45926.0</v>
      </c>
      <c r="C194" s="101" t="s">
        <v>219</v>
      </c>
      <c r="D194" s="102" t="s">
        <v>668</v>
      </c>
      <c r="E194" s="102" t="s">
        <v>426</v>
      </c>
      <c r="F194" s="102" t="s">
        <v>514</v>
      </c>
      <c r="G194" s="103">
        <v>847500.0</v>
      </c>
      <c r="H194" s="107" t="s">
        <v>669</v>
      </c>
      <c r="I194" s="108">
        <v>5.0</v>
      </c>
      <c r="J194" s="109">
        <f t="shared" si="71"/>
        <v>42375</v>
      </c>
      <c r="K194" s="109">
        <f t="shared" si="2"/>
        <v>2118.75</v>
      </c>
      <c r="L194" s="18">
        <v>85.0</v>
      </c>
      <c r="M194" s="109">
        <f t="shared" si="13"/>
        <v>36018.75</v>
      </c>
      <c r="N194" s="103">
        <f t="shared" ref="N194:N197" si="78">J194*0.03</f>
        <v>1271.25</v>
      </c>
      <c r="O194" s="103"/>
      <c r="P194" s="103"/>
      <c r="Q194" s="110">
        <f t="shared" si="69"/>
        <v>5085</v>
      </c>
      <c r="R194" s="101"/>
      <c r="S194" s="101"/>
      <c r="T194" s="105"/>
      <c r="U194" s="105"/>
      <c r="V194" s="105"/>
      <c r="W194" s="105"/>
      <c r="X194" s="5"/>
      <c r="Y194" s="106"/>
      <c r="Z194" s="43"/>
      <c r="AA194" s="43"/>
      <c r="AB194" s="43"/>
      <c r="AC194" s="43"/>
      <c r="AD194" s="43"/>
      <c r="AE194" s="43"/>
      <c r="AF194" s="43"/>
      <c r="AG194" s="43"/>
      <c r="AH194" s="43"/>
      <c r="AI194" s="43"/>
      <c r="AJ194" s="43"/>
      <c r="AK194" s="43"/>
      <c r="AL194" s="43"/>
    </row>
    <row r="195">
      <c r="A195" s="92" t="b">
        <v>0</v>
      </c>
      <c r="B195" s="46">
        <v>45926.0</v>
      </c>
      <c r="C195" s="39" t="s">
        <v>219</v>
      </c>
      <c r="D195" s="37" t="s">
        <v>670</v>
      </c>
      <c r="E195" s="37" t="s">
        <v>426</v>
      </c>
      <c r="F195" s="37" t="s">
        <v>514</v>
      </c>
      <c r="G195" s="38">
        <v>623566.0</v>
      </c>
      <c r="H195" s="39" t="s">
        <v>671</v>
      </c>
      <c r="I195" s="39">
        <v>5.0</v>
      </c>
      <c r="J195" s="38">
        <f t="shared" si="71"/>
        <v>31178.3</v>
      </c>
      <c r="K195" s="38">
        <f t="shared" si="2"/>
        <v>1558.915</v>
      </c>
      <c r="L195" s="39">
        <v>85.0</v>
      </c>
      <c r="M195" s="38">
        <f t="shared" si="13"/>
        <v>26501.555</v>
      </c>
      <c r="N195" s="38">
        <f t="shared" si="78"/>
        <v>935.349</v>
      </c>
      <c r="O195" s="38"/>
      <c r="P195" s="38"/>
      <c r="Q195" s="40">
        <f t="shared" si="69"/>
        <v>3741.396</v>
      </c>
      <c r="R195" s="49">
        <v>45938.0</v>
      </c>
      <c r="S195" s="49">
        <v>45966.0</v>
      </c>
      <c r="T195" s="47"/>
      <c r="U195" s="47"/>
      <c r="V195" s="47"/>
      <c r="W195" s="47"/>
      <c r="X195" s="45"/>
      <c r="Y195" s="43"/>
      <c r="Z195" s="106"/>
      <c r="AA195" s="106"/>
      <c r="AB195" s="106"/>
      <c r="AC195" s="106"/>
      <c r="AD195" s="106"/>
      <c r="AE195" s="106"/>
      <c r="AF195" s="106"/>
      <c r="AG195" s="106"/>
      <c r="AH195" s="106"/>
      <c r="AI195" s="106"/>
      <c r="AJ195" s="106"/>
      <c r="AK195" s="106"/>
      <c r="AL195" s="106"/>
    </row>
    <row r="196">
      <c r="A196" s="92" t="b">
        <v>0</v>
      </c>
      <c r="B196" s="46">
        <v>45935.0</v>
      </c>
      <c r="C196" s="39" t="s">
        <v>219</v>
      </c>
      <c r="D196" s="37" t="s">
        <v>672</v>
      </c>
      <c r="E196" s="37" t="s">
        <v>426</v>
      </c>
      <c r="F196" s="37" t="s">
        <v>514</v>
      </c>
      <c r="G196" s="38">
        <v>739929.05</v>
      </c>
      <c r="H196" s="39" t="s">
        <v>515</v>
      </c>
      <c r="I196" s="39" t="s">
        <v>673</v>
      </c>
      <c r="J196" s="38">
        <f t="shared" si="71"/>
        <v>36996.4525</v>
      </c>
      <c r="K196" s="38">
        <f t="shared" si="2"/>
        <v>1849.822625</v>
      </c>
      <c r="L196" s="39">
        <v>85.0</v>
      </c>
      <c r="M196" s="38">
        <f t="shared" si="13"/>
        <v>31446.98463</v>
      </c>
      <c r="N196" s="38">
        <f t="shared" si="78"/>
        <v>1109.893575</v>
      </c>
      <c r="O196" s="38"/>
      <c r="P196" s="38"/>
      <c r="Q196" s="40">
        <f t="shared" si="69"/>
        <v>4439.5743</v>
      </c>
      <c r="R196" s="49">
        <v>45996.0</v>
      </c>
      <c r="S196" s="35">
        <v>46009.0</v>
      </c>
      <c r="T196" s="47"/>
      <c r="U196" s="47"/>
      <c r="V196" s="47"/>
      <c r="W196" s="47"/>
      <c r="X196" s="45"/>
      <c r="Y196" s="43"/>
      <c r="Z196" s="43"/>
      <c r="AA196" s="43"/>
      <c r="AB196" s="43"/>
      <c r="AC196" s="43"/>
      <c r="AD196" s="43"/>
      <c r="AE196" s="43"/>
      <c r="AF196" s="43"/>
      <c r="AG196" s="43"/>
      <c r="AH196" s="43"/>
      <c r="AI196" s="43"/>
      <c r="AJ196" s="43"/>
      <c r="AK196" s="43"/>
      <c r="AL196" s="43"/>
    </row>
    <row r="197">
      <c r="A197" s="92" t="b">
        <v>0</v>
      </c>
      <c r="B197" s="46">
        <v>45936.0</v>
      </c>
      <c r="C197" s="39" t="s">
        <v>219</v>
      </c>
      <c r="D197" s="37" t="s">
        <v>674</v>
      </c>
      <c r="E197" s="37" t="s">
        <v>426</v>
      </c>
      <c r="F197" s="37" t="s">
        <v>514</v>
      </c>
      <c r="G197" s="38">
        <v>739228.0</v>
      </c>
      <c r="H197" s="39" t="s">
        <v>515</v>
      </c>
      <c r="I197" s="39">
        <v>5.0</v>
      </c>
      <c r="J197" s="38">
        <f t="shared" si="71"/>
        <v>36961.4</v>
      </c>
      <c r="K197" s="38">
        <f t="shared" si="2"/>
        <v>1848.07</v>
      </c>
      <c r="L197" s="39">
        <v>85.0</v>
      </c>
      <c r="M197" s="38">
        <f t="shared" si="13"/>
        <v>31417.19</v>
      </c>
      <c r="N197" s="38">
        <f t="shared" si="78"/>
        <v>1108.842</v>
      </c>
      <c r="O197" s="38"/>
      <c r="P197" s="38"/>
      <c r="Q197" s="40">
        <f t="shared" si="69"/>
        <v>4435.368</v>
      </c>
      <c r="R197" s="49">
        <v>45996.0</v>
      </c>
      <c r="S197" s="35">
        <v>46009.0</v>
      </c>
      <c r="T197" s="47"/>
      <c r="U197" s="47"/>
      <c r="V197" s="47"/>
      <c r="W197" s="47"/>
      <c r="X197" s="45"/>
      <c r="Y197" s="43"/>
      <c r="Z197" s="43"/>
      <c r="AA197" s="43"/>
      <c r="AB197" s="43"/>
      <c r="AC197" s="43"/>
      <c r="AD197" s="43"/>
      <c r="AE197" s="43"/>
      <c r="AF197" s="43"/>
      <c r="AG197" s="43"/>
      <c r="AH197" s="43"/>
      <c r="AI197" s="43"/>
      <c r="AJ197" s="43"/>
      <c r="AK197" s="43"/>
      <c r="AL197" s="43"/>
    </row>
    <row r="198">
      <c r="A198" s="92" t="b">
        <v>0</v>
      </c>
      <c r="B198" s="46">
        <v>45937.0</v>
      </c>
      <c r="C198" s="39" t="s">
        <v>150</v>
      </c>
      <c r="D198" s="37" t="s">
        <v>675</v>
      </c>
      <c r="E198" s="37" t="s">
        <v>676</v>
      </c>
      <c r="F198" s="37" t="s">
        <v>295</v>
      </c>
      <c r="G198" s="38">
        <v>803857.0</v>
      </c>
      <c r="H198" s="39" t="s">
        <v>515</v>
      </c>
      <c r="I198" s="39">
        <v>5.0</v>
      </c>
      <c r="J198" s="38">
        <f t="shared" si="71"/>
        <v>40192.85</v>
      </c>
      <c r="K198" s="38">
        <f t="shared" si="2"/>
        <v>2009.6425</v>
      </c>
      <c r="L198" s="39">
        <v>70.0</v>
      </c>
      <c r="M198" s="38">
        <f t="shared" si="13"/>
        <v>28134.995</v>
      </c>
      <c r="N198" s="38">
        <v>3000.0</v>
      </c>
      <c r="O198" s="38"/>
      <c r="P198" s="38"/>
      <c r="Q198" s="40">
        <f t="shared" si="69"/>
        <v>9057.855</v>
      </c>
      <c r="R198" s="49">
        <v>45996.0</v>
      </c>
      <c r="S198" s="35">
        <v>46009.0</v>
      </c>
      <c r="T198" s="47"/>
      <c r="U198" s="47"/>
      <c r="V198" s="47"/>
      <c r="W198" s="47"/>
      <c r="X198" s="45"/>
      <c r="Y198" s="43"/>
      <c r="Z198" s="43"/>
      <c r="AA198" s="43"/>
      <c r="AB198" s="43"/>
      <c r="AC198" s="43"/>
      <c r="AD198" s="43"/>
      <c r="AE198" s="43"/>
      <c r="AF198" s="43"/>
      <c r="AG198" s="43"/>
      <c r="AH198" s="43"/>
      <c r="AI198" s="43"/>
      <c r="AJ198" s="43"/>
      <c r="AK198" s="43"/>
      <c r="AL198" s="43"/>
    </row>
    <row r="199">
      <c r="A199" s="92" t="b">
        <v>0</v>
      </c>
      <c r="B199" s="46">
        <v>45940.0</v>
      </c>
      <c r="C199" s="39" t="s">
        <v>219</v>
      </c>
      <c r="D199" s="37" t="s">
        <v>677</v>
      </c>
      <c r="E199" s="37" t="s">
        <v>652</v>
      </c>
      <c r="F199" s="37" t="s">
        <v>514</v>
      </c>
      <c r="G199" s="38">
        <v>3623600.0</v>
      </c>
      <c r="H199" s="39" t="s">
        <v>659</v>
      </c>
      <c r="I199" s="39">
        <v>4.0</v>
      </c>
      <c r="J199" s="38">
        <f t="shared" si="71"/>
        <v>144944</v>
      </c>
      <c r="K199" s="38">
        <f t="shared" si="2"/>
        <v>7247.2</v>
      </c>
      <c r="L199" s="39">
        <v>65.0</v>
      </c>
      <c r="M199" s="38">
        <f t="shared" si="13"/>
        <v>94213.6</v>
      </c>
      <c r="N199" s="38">
        <f t="shared" ref="N199:N200" si="79">J199*0.05</f>
        <v>7247.2</v>
      </c>
      <c r="O199" s="38"/>
      <c r="P199" s="38"/>
      <c r="Q199" s="40">
        <f t="shared" si="69"/>
        <v>43483.2</v>
      </c>
      <c r="R199" s="35">
        <v>45980.0</v>
      </c>
      <c r="S199" s="35">
        <v>46050.0</v>
      </c>
      <c r="T199" s="39" t="s">
        <v>678</v>
      </c>
      <c r="U199" s="47"/>
      <c r="V199" s="47"/>
      <c r="W199" s="47"/>
      <c r="X199" s="45"/>
      <c r="Y199" s="43"/>
      <c r="Z199" s="43"/>
      <c r="AA199" s="43"/>
      <c r="AB199" s="43"/>
      <c r="AC199" s="43"/>
      <c r="AD199" s="43"/>
      <c r="AE199" s="43"/>
      <c r="AF199" s="43"/>
      <c r="AG199" s="43"/>
      <c r="AH199" s="43"/>
      <c r="AI199" s="43"/>
      <c r="AJ199" s="43"/>
      <c r="AK199" s="43"/>
      <c r="AL199" s="43"/>
    </row>
    <row r="200">
      <c r="A200" s="92" t="b">
        <v>0</v>
      </c>
      <c r="B200" s="46">
        <v>45946.0</v>
      </c>
      <c r="C200" s="39" t="s">
        <v>219</v>
      </c>
      <c r="D200" s="37" t="s">
        <v>679</v>
      </c>
      <c r="E200" s="37" t="s">
        <v>649</v>
      </c>
      <c r="F200" s="37" t="s">
        <v>514</v>
      </c>
      <c r="G200" s="38">
        <v>1588828.0</v>
      </c>
      <c r="H200" s="39" t="s">
        <v>191</v>
      </c>
      <c r="I200" s="39">
        <v>5.0</v>
      </c>
      <c r="J200" s="38">
        <f>G200*I200%</f>
        <v>79441.4</v>
      </c>
      <c r="K200" s="38">
        <f t="shared" si="2"/>
        <v>3972.07</v>
      </c>
      <c r="L200" s="39">
        <v>50.0</v>
      </c>
      <c r="M200" s="38">
        <f t="shared" si="13"/>
        <v>39720.7</v>
      </c>
      <c r="N200" s="38">
        <f t="shared" si="79"/>
        <v>3972.07</v>
      </c>
      <c r="O200" s="38"/>
      <c r="P200" s="38"/>
      <c r="Q200" s="40">
        <f t="shared" si="69"/>
        <v>35748.63</v>
      </c>
      <c r="R200" s="35">
        <v>45980.0</v>
      </c>
      <c r="S200" s="35">
        <v>45990.0</v>
      </c>
      <c r="T200" s="47"/>
      <c r="U200" s="47"/>
      <c r="V200" s="47"/>
      <c r="W200" s="47"/>
      <c r="X200" s="45"/>
      <c r="Y200" s="43"/>
      <c r="Z200" s="43"/>
      <c r="AA200" s="43"/>
      <c r="AB200" s="43"/>
      <c r="AC200" s="43"/>
      <c r="AD200" s="43"/>
      <c r="AE200" s="43"/>
      <c r="AF200" s="43"/>
      <c r="AG200" s="43"/>
      <c r="AH200" s="43"/>
      <c r="AI200" s="43"/>
      <c r="AJ200" s="43"/>
      <c r="AK200" s="43"/>
      <c r="AL200" s="43"/>
    </row>
    <row r="201">
      <c r="A201" s="92" t="b">
        <v>0</v>
      </c>
      <c r="B201" s="46">
        <v>45951.0</v>
      </c>
      <c r="C201" s="39" t="s">
        <v>150</v>
      </c>
      <c r="D201" s="37" t="s">
        <v>680</v>
      </c>
      <c r="E201" s="37" t="s">
        <v>681</v>
      </c>
      <c r="F201" s="37" t="s">
        <v>44</v>
      </c>
      <c r="G201" s="38">
        <v>752000.0</v>
      </c>
      <c r="H201" s="39" t="s">
        <v>682</v>
      </c>
      <c r="I201" s="39">
        <v>5.0</v>
      </c>
      <c r="J201" s="38">
        <f t="shared" ref="J201:J213" si="80">(G201*I201)/100</f>
        <v>37600</v>
      </c>
      <c r="K201" s="38">
        <f t="shared" si="2"/>
        <v>1880</v>
      </c>
      <c r="L201" s="39">
        <v>88.0</v>
      </c>
      <c r="M201" s="38">
        <f t="shared" si="13"/>
        <v>33088</v>
      </c>
      <c r="N201" s="38"/>
      <c r="O201" s="38"/>
      <c r="P201" s="38"/>
      <c r="Q201" s="40">
        <f t="shared" si="69"/>
        <v>4512</v>
      </c>
      <c r="R201" s="49">
        <v>46055.0</v>
      </c>
      <c r="S201" s="49">
        <v>46080.0</v>
      </c>
      <c r="T201" s="47"/>
      <c r="U201" s="39" t="s">
        <v>683</v>
      </c>
      <c r="V201" s="47"/>
      <c r="W201" s="47"/>
      <c r="X201" s="45"/>
      <c r="Y201" s="43"/>
      <c r="Z201" s="43"/>
      <c r="AA201" s="43"/>
      <c r="AB201" s="43"/>
      <c r="AC201" s="43"/>
      <c r="AD201" s="43"/>
      <c r="AE201" s="43"/>
      <c r="AF201" s="43"/>
      <c r="AG201" s="43"/>
      <c r="AH201" s="43"/>
      <c r="AI201" s="43"/>
      <c r="AJ201" s="43"/>
      <c r="AK201" s="43"/>
      <c r="AL201" s="43"/>
    </row>
    <row r="202">
      <c r="A202" s="92" t="b">
        <v>1</v>
      </c>
      <c r="B202" s="96">
        <v>45952.0</v>
      </c>
      <c r="C202" s="50" t="s">
        <v>150</v>
      </c>
      <c r="D202" s="97" t="s">
        <v>684</v>
      </c>
      <c r="E202" s="97" t="s">
        <v>685</v>
      </c>
      <c r="F202" s="97"/>
      <c r="G202" s="98">
        <v>746000.0</v>
      </c>
      <c r="H202" s="50" t="s">
        <v>686</v>
      </c>
      <c r="I202" s="50">
        <v>5.0</v>
      </c>
      <c r="J202" s="98">
        <f t="shared" si="80"/>
        <v>37300</v>
      </c>
      <c r="K202" s="98">
        <f t="shared" si="2"/>
        <v>1865</v>
      </c>
      <c r="L202" s="50">
        <v>80.0</v>
      </c>
      <c r="M202" s="98">
        <f t="shared" si="13"/>
        <v>29840</v>
      </c>
      <c r="N202" s="98"/>
      <c r="O202" s="98"/>
      <c r="P202" s="98"/>
      <c r="Q202" s="99">
        <f t="shared" si="69"/>
        <v>7460</v>
      </c>
      <c r="R202" s="111">
        <v>46044.0</v>
      </c>
      <c r="S202" s="50"/>
      <c r="T202" s="51"/>
      <c r="U202" s="51"/>
      <c r="V202" s="51"/>
      <c r="W202" s="51"/>
      <c r="X202" s="55"/>
      <c r="Y202" s="52"/>
      <c r="Z202" s="52"/>
      <c r="AA202" s="52"/>
      <c r="AB202" s="52"/>
      <c r="AC202" s="52"/>
      <c r="AD202" s="52"/>
      <c r="AE202" s="52"/>
      <c r="AF202" s="52"/>
      <c r="AG202" s="52"/>
      <c r="AH202" s="52"/>
      <c r="AI202" s="52"/>
      <c r="AJ202" s="52"/>
      <c r="AK202" s="52"/>
      <c r="AL202" s="52"/>
    </row>
    <row r="203">
      <c r="A203" s="92" t="b">
        <v>0</v>
      </c>
      <c r="B203" s="46">
        <v>45953.0</v>
      </c>
      <c r="C203" s="39" t="s">
        <v>150</v>
      </c>
      <c r="D203" s="37" t="s">
        <v>687</v>
      </c>
      <c r="E203" s="37" t="s">
        <v>685</v>
      </c>
      <c r="F203" s="37"/>
      <c r="G203" s="38">
        <v>2649000.0</v>
      </c>
      <c r="H203" s="39" t="s">
        <v>688</v>
      </c>
      <c r="I203" s="39">
        <v>6.0</v>
      </c>
      <c r="J203" s="38">
        <f t="shared" si="80"/>
        <v>158940</v>
      </c>
      <c r="K203" s="38">
        <f t="shared" si="2"/>
        <v>7947</v>
      </c>
      <c r="L203" s="39">
        <v>88.0</v>
      </c>
      <c r="M203" s="38">
        <f t="shared" si="13"/>
        <v>139867.2</v>
      </c>
      <c r="N203" s="38"/>
      <c r="O203" s="38"/>
      <c r="P203" s="38"/>
      <c r="Q203" s="40">
        <f t="shared" si="69"/>
        <v>19072.8</v>
      </c>
      <c r="R203" s="35">
        <v>45989.0</v>
      </c>
      <c r="S203" s="49">
        <v>46090.0</v>
      </c>
      <c r="T203" s="47"/>
      <c r="U203" s="47"/>
      <c r="V203" s="47"/>
      <c r="W203" s="47"/>
      <c r="X203" s="45"/>
      <c r="Y203" s="43"/>
      <c r="Z203" s="43"/>
      <c r="AA203" s="43"/>
      <c r="AB203" s="43"/>
      <c r="AC203" s="43"/>
      <c r="AD203" s="43"/>
      <c r="AE203" s="43"/>
      <c r="AF203" s="43"/>
      <c r="AG203" s="43"/>
      <c r="AH203" s="43"/>
      <c r="AI203" s="43"/>
      <c r="AJ203" s="43"/>
      <c r="AK203" s="43"/>
      <c r="AL203" s="43"/>
    </row>
    <row r="204">
      <c r="A204" s="92" t="b">
        <v>1</v>
      </c>
      <c r="B204" s="100">
        <v>45954.0</v>
      </c>
      <c r="C204" s="101" t="s">
        <v>219</v>
      </c>
      <c r="D204" s="102" t="s">
        <v>689</v>
      </c>
      <c r="E204" s="102" t="s">
        <v>426</v>
      </c>
      <c r="F204" s="102" t="s">
        <v>514</v>
      </c>
      <c r="G204" s="103">
        <v>834900.0</v>
      </c>
      <c r="H204" s="107" t="s">
        <v>482</v>
      </c>
      <c r="I204" s="107">
        <v>5.0</v>
      </c>
      <c r="J204" s="109">
        <f t="shared" si="80"/>
        <v>41745</v>
      </c>
      <c r="K204" s="109">
        <f t="shared" si="2"/>
        <v>2087.25</v>
      </c>
      <c r="L204" s="18">
        <v>85.0</v>
      </c>
      <c r="M204" s="109">
        <f t="shared" si="13"/>
        <v>35483.25</v>
      </c>
      <c r="N204" s="103">
        <f t="shared" ref="N204:N205" si="81">J204*0.03</f>
        <v>1252.35</v>
      </c>
      <c r="O204" s="103"/>
      <c r="P204" s="103"/>
      <c r="Q204" s="110">
        <f t="shared" si="69"/>
        <v>5009.4</v>
      </c>
      <c r="R204" s="101"/>
      <c r="S204" s="101"/>
      <c r="T204" s="105"/>
      <c r="U204" s="105"/>
      <c r="V204" s="105"/>
      <c r="W204" s="105"/>
      <c r="X204" s="5"/>
      <c r="Y204" s="106"/>
      <c r="Z204" s="106"/>
      <c r="AA204" s="106"/>
      <c r="AB204" s="106"/>
      <c r="AC204" s="106"/>
      <c r="AD204" s="106"/>
      <c r="AE204" s="106"/>
      <c r="AF204" s="106"/>
      <c r="AG204" s="106"/>
      <c r="AH204" s="106"/>
      <c r="AI204" s="106"/>
      <c r="AJ204" s="106"/>
      <c r="AK204" s="106"/>
      <c r="AL204" s="106"/>
    </row>
    <row r="205">
      <c r="A205" s="92" t="b">
        <v>0</v>
      </c>
      <c r="B205" s="46">
        <v>45954.0</v>
      </c>
      <c r="C205" s="39" t="s">
        <v>219</v>
      </c>
      <c r="D205" s="37" t="s">
        <v>689</v>
      </c>
      <c r="E205" s="37" t="s">
        <v>426</v>
      </c>
      <c r="F205" s="37" t="s">
        <v>514</v>
      </c>
      <c r="G205" s="38">
        <v>1247533.94</v>
      </c>
      <c r="H205" s="39" t="s">
        <v>506</v>
      </c>
      <c r="I205" s="39">
        <v>6.0</v>
      </c>
      <c r="J205" s="38">
        <f t="shared" si="80"/>
        <v>74852.0364</v>
      </c>
      <c r="K205" s="38">
        <f t="shared" si="2"/>
        <v>3742.60182</v>
      </c>
      <c r="L205" s="39">
        <v>85.0</v>
      </c>
      <c r="M205" s="38">
        <f t="shared" si="13"/>
        <v>63624.23094</v>
      </c>
      <c r="N205" s="38">
        <f t="shared" si="81"/>
        <v>2245.561092</v>
      </c>
      <c r="O205" s="38"/>
      <c r="P205" s="38"/>
      <c r="Q205" s="40">
        <f t="shared" si="69"/>
        <v>8982.244368</v>
      </c>
      <c r="R205" s="49">
        <v>46069.0</v>
      </c>
      <c r="S205" s="49">
        <v>46078.0</v>
      </c>
      <c r="T205" s="47"/>
      <c r="U205" s="47"/>
      <c r="V205" s="47"/>
      <c r="W205" s="47"/>
      <c r="X205" s="45"/>
      <c r="Y205" s="43"/>
      <c r="Z205" s="43"/>
      <c r="AA205" s="43"/>
      <c r="AB205" s="43"/>
      <c r="AC205" s="43"/>
      <c r="AD205" s="43"/>
      <c r="AE205" s="43"/>
      <c r="AF205" s="43"/>
      <c r="AG205" s="43"/>
      <c r="AH205" s="43"/>
      <c r="AI205" s="43"/>
      <c r="AJ205" s="43"/>
      <c r="AK205" s="43"/>
      <c r="AL205" s="43"/>
    </row>
    <row r="206">
      <c r="A206" s="92" t="b">
        <v>1</v>
      </c>
      <c r="B206" s="96">
        <v>45956.0</v>
      </c>
      <c r="C206" s="50" t="s">
        <v>219</v>
      </c>
      <c r="D206" s="97" t="s">
        <v>690</v>
      </c>
      <c r="E206" s="97" t="s">
        <v>691</v>
      </c>
      <c r="F206" s="97" t="s">
        <v>514</v>
      </c>
      <c r="G206" s="98">
        <v>2605096.0</v>
      </c>
      <c r="H206" s="50" t="s">
        <v>659</v>
      </c>
      <c r="I206" s="50">
        <v>4.0</v>
      </c>
      <c r="J206" s="98">
        <f t="shared" si="80"/>
        <v>104203.84</v>
      </c>
      <c r="K206" s="98">
        <f t="shared" si="2"/>
        <v>5210.192</v>
      </c>
      <c r="L206" s="50">
        <v>50.0</v>
      </c>
      <c r="M206" s="98">
        <f t="shared" si="13"/>
        <v>52101.92</v>
      </c>
      <c r="N206" s="98">
        <f>J206*0.05</f>
        <v>5210.192</v>
      </c>
      <c r="O206" s="98"/>
      <c r="P206" s="98"/>
      <c r="Q206" s="99">
        <f t="shared" si="69"/>
        <v>46891.728</v>
      </c>
      <c r="R206" s="112">
        <v>45971.0</v>
      </c>
      <c r="S206" s="112">
        <v>45983.0</v>
      </c>
      <c r="T206" s="50" t="s">
        <v>692</v>
      </c>
      <c r="U206" s="51"/>
      <c r="V206" s="51"/>
      <c r="W206" s="51"/>
      <c r="X206" s="55"/>
      <c r="Y206" s="52"/>
      <c r="Z206" s="52"/>
      <c r="AA206" s="52"/>
      <c r="AB206" s="52"/>
      <c r="AC206" s="52"/>
      <c r="AD206" s="52"/>
      <c r="AE206" s="52"/>
      <c r="AF206" s="52"/>
      <c r="AG206" s="52"/>
      <c r="AH206" s="52"/>
      <c r="AI206" s="52"/>
      <c r="AJ206" s="52"/>
      <c r="AK206" s="52"/>
      <c r="AL206" s="52"/>
    </row>
    <row r="207">
      <c r="A207" s="92" t="b">
        <v>1</v>
      </c>
      <c r="B207" s="46">
        <v>45957.0</v>
      </c>
      <c r="C207" s="39" t="s">
        <v>150</v>
      </c>
      <c r="D207" s="37" t="s">
        <v>693</v>
      </c>
      <c r="E207" s="37" t="s">
        <v>681</v>
      </c>
      <c r="F207" s="37" t="s">
        <v>44</v>
      </c>
      <c r="G207" s="38">
        <v>690000.0</v>
      </c>
      <c r="H207" s="39" t="s">
        <v>682</v>
      </c>
      <c r="I207" s="39">
        <v>5.0</v>
      </c>
      <c r="J207" s="38">
        <f t="shared" si="80"/>
        <v>34500</v>
      </c>
      <c r="K207" s="38">
        <f t="shared" si="2"/>
        <v>1725</v>
      </c>
      <c r="L207" s="39">
        <v>88.0</v>
      </c>
      <c r="M207" s="38">
        <f t="shared" si="13"/>
        <v>30360</v>
      </c>
      <c r="N207" s="38"/>
      <c r="O207" s="38"/>
      <c r="P207" s="38"/>
      <c r="Q207" s="40">
        <f t="shared" si="69"/>
        <v>4140</v>
      </c>
      <c r="R207" s="49">
        <v>46055.0</v>
      </c>
      <c r="S207" s="49">
        <v>46094.0</v>
      </c>
      <c r="T207" s="47"/>
      <c r="U207" s="39" t="s">
        <v>683</v>
      </c>
      <c r="V207" s="47"/>
      <c r="W207" s="47"/>
      <c r="X207" s="45"/>
      <c r="Y207" s="43"/>
      <c r="Z207" s="43"/>
      <c r="AA207" s="43"/>
      <c r="AB207" s="43"/>
      <c r="AC207" s="43"/>
      <c r="AD207" s="43"/>
      <c r="AE207" s="43"/>
      <c r="AF207" s="43"/>
      <c r="AG207" s="43"/>
      <c r="AH207" s="43"/>
      <c r="AI207" s="43"/>
      <c r="AJ207" s="43"/>
      <c r="AK207" s="43"/>
      <c r="AL207" s="43"/>
    </row>
    <row r="208">
      <c r="A208" s="92" t="b">
        <v>1</v>
      </c>
      <c r="B208" s="46">
        <v>45960.0</v>
      </c>
      <c r="C208" s="39" t="s">
        <v>150</v>
      </c>
      <c r="D208" s="37" t="s">
        <v>694</v>
      </c>
      <c r="E208" s="37" t="s">
        <v>200</v>
      </c>
      <c r="F208" s="38" t="s">
        <v>416</v>
      </c>
      <c r="G208" s="38">
        <v>750000.0</v>
      </c>
      <c r="H208" s="39" t="s">
        <v>695</v>
      </c>
      <c r="I208" s="39">
        <v>5.0</v>
      </c>
      <c r="J208" s="38">
        <f t="shared" si="80"/>
        <v>37500</v>
      </c>
      <c r="K208" s="38">
        <f t="shared" si="2"/>
        <v>1875</v>
      </c>
      <c r="L208" s="39">
        <v>80.0</v>
      </c>
      <c r="M208" s="38">
        <f t="shared" si="13"/>
        <v>30000</v>
      </c>
      <c r="N208" s="38">
        <f>J208*0.09</f>
        <v>3375</v>
      </c>
      <c r="O208" s="38"/>
      <c r="P208" s="38"/>
      <c r="Q208" s="40">
        <f t="shared" si="69"/>
        <v>4125</v>
      </c>
      <c r="R208" s="49">
        <v>46055.0</v>
      </c>
      <c r="S208" s="49">
        <v>46106.0</v>
      </c>
      <c r="T208" s="39"/>
      <c r="U208" s="39" t="s">
        <v>696</v>
      </c>
      <c r="V208" s="47"/>
      <c r="W208" s="47"/>
      <c r="X208" s="45"/>
      <c r="Y208" s="43"/>
      <c r="Z208" s="43"/>
      <c r="AA208" s="43"/>
      <c r="AB208" s="43"/>
      <c r="AC208" s="43"/>
      <c r="AD208" s="43"/>
      <c r="AE208" s="43"/>
      <c r="AF208" s="43"/>
      <c r="AG208" s="43"/>
      <c r="AH208" s="43"/>
      <c r="AI208" s="43"/>
      <c r="AJ208" s="43"/>
      <c r="AK208" s="43"/>
      <c r="AL208" s="43"/>
    </row>
    <row r="209">
      <c r="A209" s="92" t="b">
        <v>1</v>
      </c>
      <c r="B209" s="46">
        <v>45960.0</v>
      </c>
      <c r="C209" s="39" t="s">
        <v>150</v>
      </c>
      <c r="D209" s="37" t="s">
        <v>697</v>
      </c>
      <c r="E209" s="37" t="s">
        <v>698</v>
      </c>
      <c r="F209" s="38"/>
      <c r="G209" s="38">
        <v>1.090546374E7</v>
      </c>
      <c r="H209" s="39" t="s">
        <v>699</v>
      </c>
      <c r="I209" s="39">
        <v>4.0</v>
      </c>
      <c r="J209" s="38">
        <f t="shared" si="80"/>
        <v>436218.5496</v>
      </c>
      <c r="K209" s="38">
        <f t="shared" si="2"/>
        <v>21810.92748</v>
      </c>
      <c r="L209" s="39">
        <v>90.0</v>
      </c>
      <c r="M209" s="38">
        <f t="shared" si="13"/>
        <v>392596.6946</v>
      </c>
      <c r="N209" s="38"/>
      <c r="O209" s="38"/>
      <c r="P209" s="38"/>
      <c r="Q209" s="40">
        <f t="shared" si="69"/>
        <v>43621.85496</v>
      </c>
      <c r="R209" s="49">
        <v>46076.0</v>
      </c>
      <c r="S209" s="49">
        <v>46119.0</v>
      </c>
      <c r="T209" s="47"/>
      <c r="U209" s="39" t="s">
        <v>700</v>
      </c>
      <c r="V209" s="47"/>
      <c r="W209" s="47"/>
      <c r="X209" s="45"/>
      <c r="Y209" s="43"/>
      <c r="Z209" s="43"/>
      <c r="AA209" s="43"/>
      <c r="AB209" s="43"/>
      <c r="AC209" s="43"/>
      <c r="AD209" s="43"/>
      <c r="AE209" s="43"/>
      <c r="AF209" s="43"/>
      <c r="AG209" s="43"/>
      <c r="AH209" s="43"/>
      <c r="AI209" s="43"/>
      <c r="AJ209" s="43"/>
      <c r="AK209" s="43"/>
      <c r="AL209" s="43"/>
    </row>
    <row r="210">
      <c r="A210" s="92" t="b">
        <v>1</v>
      </c>
      <c r="B210" s="96">
        <v>45960.0</v>
      </c>
      <c r="C210" s="50" t="s">
        <v>219</v>
      </c>
      <c r="D210" s="97" t="s">
        <v>651</v>
      </c>
      <c r="E210" s="97" t="s">
        <v>652</v>
      </c>
      <c r="F210" s="97" t="s">
        <v>514</v>
      </c>
      <c r="G210" s="98">
        <v>582300.0</v>
      </c>
      <c r="H210" s="50" t="s">
        <v>701</v>
      </c>
      <c r="I210" s="50">
        <v>4.0</v>
      </c>
      <c r="J210" s="98">
        <f t="shared" si="80"/>
        <v>23292</v>
      </c>
      <c r="K210" s="98">
        <f t="shared" si="2"/>
        <v>1164.6</v>
      </c>
      <c r="L210" s="50">
        <v>80.0</v>
      </c>
      <c r="M210" s="98">
        <f t="shared" si="13"/>
        <v>18633.6</v>
      </c>
      <c r="N210" s="98">
        <f>J210*0.05</f>
        <v>1164.6</v>
      </c>
      <c r="O210" s="98"/>
      <c r="P210" s="98"/>
      <c r="Q210" s="99">
        <f t="shared" si="69"/>
        <v>3493.8</v>
      </c>
      <c r="R210" s="111">
        <v>46066.0</v>
      </c>
      <c r="S210" s="50"/>
      <c r="T210" s="51"/>
      <c r="U210" s="51"/>
      <c r="V210" s="51"/>
      <c r="W210" s="51"/>
      <c r="X210" s="55"/>
      <c r="Y210" s="52"/>
      <c r="Z210" s="52"/>
      <c r="AA210" s="52"/>
      <c r="AB210" s="52"/>
      <c r="AC210" s="52"/>
      <c r="AD210" s="52"/>
      <c r="AE210" s="52"/>
      <c r="AF210" s="52"/>
      <c r="AG210" s="52"/>
      <c r="AH210" s="52"/>
      <c r="AI210" s="52"/>
      <c r="AJ210" s="52"/>
      <c r="AK210" s="52"/>
      <c r="AL210" s="52"/>
    </row>
    <row r="211">
      <c r="A211" s="92" t="b">
        <v>1</v>
      </c>
      <c r="B211" s="96">
        <v>45961.0</v>
      </c>
      <c r="C211" s="50" t="s">
        <v>150</v>
      </c>
      <c r="D211" s="97" t="s">
        <v>702</v>
      </c>
      <c r="E211" s="97" t="s">
        <v>685</v>
      </c>
      <c r="F211" s="97"/>
      <c r="G211" s="98">
        <v>3559680.0</v>
      </c>
      <c r="H211" s="50" t="s">
        <v>688</v>
      </c>
      <c r="I211" s="50">
        <v>6.0</v>
      </c>
      <c r="J211" s="98">
        <f t="shared" si="80"/>
        <v>213580.8</v>
      </c>
      <c r="K211" s="98">
        <f t="shared" si="2"/>
        <v>10679.04</v>
      </c>
      <c r="L211" s="50">
        <v>88.0</v>
      </c>
      <c r="M211" s="98">
        <f t="shared" si="13"/>
        <v>187951.104</v>
      </c>
      <c r="N211" s="98"/>
      <c r="O211" s="98"/>
      <c r="P211" s="98"/>
      <c r="Q211" s="99">
        <f t="shared" si="69"/>
        <v>25629.696</v>
      </c>
      <c r="R211" s="112">
        <v>46015.0</v>
      </c>
      <c r="S211" s="50"/>
      <c r="T211" s="51"/>
      <c r="U211" s="51"/>
      <c r="V211" s="51"/>
      <c r="W211" s="51"/>
      <c r="X211" s="55"/>
      <c r="Y211" s="52"/>
      <c r="Z211" s="52"/>
      <c r="AA211" s="52"/>
      <c r="AB211" s="52"/>
      <c r="AC211" s="52"/>
      <c r="AD211" s="52"/>
      <c r="AE211" s="52"/>
      <c r="AF211" s="52"/>
      <c r="AG211" s="52"/>
      <c r="AH211" s="52"/>
      <c r="AI211" s="52"/>
      <c r="AJ211" s="52"/>
      <c r="AK211" s="52"/>
      <c r="AL211" s="52"/>
    </row>
    <row r="212">
      <c r="A212" s="92" t="b">
        <v>0</v>
      </c>
      <c r="B212" s="96">
        <v>45963.0</v>
      </c>
      <c r="C212" s="50" t="s">
        <v>157</v>
      </c>
      <c r="D212" s="97" t="s">
        <v>703</v>
      </c>
      <c r="E212" s="97" t="s">
        <v>408</v>
      </c>
      <c r="F212" s="97" t="s">
        <v>157</v>
      </c>
      <c r="G212" s="98">
        <v>1.08219E7</v>
      </c>
      <c r="H212" s="50" t="s">
        <v>659</v>
      </c>
      <c r="I212" s="50">
        <v>4.0</v>
      </c>
      <c r="J212" s="98">
        <f t="shared" si="80"/>
        <v>432876</v>
      </c>
      <c r="K212" s="98">
        <f t="shared" si="2"/>
        <v>21643.8</v>
      </c>
      <c r="L212" s="50">
        <v>90.0</v>
      </c>
      <c r="M212" s="98">
        <f t="shared" si="13"/>
        <v>389588.4</v>
      </c>
      <c r="N212" s="98"/>
      <c r="O212" s="98"/>
      <c r="P212" s="98"/>
      <c r="Q212" s="99">
        <f t="shared" si="69"/>
        <v>43287.6</v>
      </c>
      <c r="R212" s="112">
        <v>45983.0</v>
      </c>
      <c r="S212" s="50"/>
      <c r="T212" s="50" t="s">
        <v>704</v>
      </c>
      <c r="U212" s="51"/>
      <c r="V212" s="51"/>
      <c r="W212" s="51"/>
      <c r="X212" s="55"/>
      <c r="Y212" s="52"/>
      <c r="Z212" s="52"/>
      <c r="AA212" s="52"/>
      <c r="AB212" s="52"/>
      <c r="AC212" s="52"/>
      <c r="AD212" s="52"/>
      <c r="AE212" s="52"/>
      <c r="AF212" s="52"/>
      <c r="AG212" s="52"/>
      <c r="AH212" s="52"/>
      <c r="AI212" s="52"/>
      <c r="AJ212" s="52"/>
      <c r="AK212" s="52"/>
      <c r="AL212" s="52"/>
    </row>
    <row r="213">
      <c r="A213" s="92" t="b">
        <v>0</v>
      </c>
      <c r="B213" s="46">
        <v>45964.0</v>
      </c>
      <c r="C213" s="39" t="s">
        <v>150</v>
      </c>
      <c r="D213" s="37" t="s">
        <v>705</v>
      </c>
      <c r="E213" s="37" t="s">
        <v>200</v>
      </c>
      <c r="F213" s="37" t="s">
        <v>706</v>
      </c>
      <c r="G213" s="38">
        <v>1752426.0</v>
      </c>
      <c r="H213" s="39" t="s">
        <v>707</v>
      </c>
      <c r="I213" s="39">
        <v>4.0</v>
      </c>
      <c r="J213" s="38">
        <f t="shared" si="80"/>
        <v>70097.04</v>
      </c>
      <c r="K213" s="38">
        <f t="shared" si="2"/>
        <v>3504.852</v>
      </c>
      <c r="L213" s="39">
        <v>80.0</v>
      </c>
      <c r="M213" s="38">
        <f t="shared" si="13"/>
        <v>56077.632</v>
      </c>
      <c r="N213" s="38">
        <f>J213*0.09</f>
        <v>6308.7336</v>
      </c>
      <c r="O213" s="38"/>
      <c r="P213" s="38"/>
      <c r="Q213" s="40">
        <f t="shared" si="69"/>
        <v>7710.6744</v>
      </c>
      <c r="R213" s="49">
        <v>45999.0</v>
      </c>
      <c r="S213" s="49">
        <v>46050.0</v>
      </c>
      <c r="T213" s="47"/>
      <c r="U213" s="47"/>
      <c r="V213" s="47"/>
      <c r="W213" s="47"/>
      <c r="X213" s="45"/>
      <c r="Y213" s="43"/>
      <c r="Z213" s="43"/>
      <c r="AA213" s="43"/>
      <c r="AB213" s="43"/>
      <c r="AC213" s="43"/>
      <c r="AD213" s="43"/>
      <c r="AE213" s="43"/>
      <c r="AF213" s="43"/>
      <c r="AG213" s="43"/>
      <c r="AH213" s="43"/>
      <c r="AI213" s="43"/>
      <c r="AJ213" s="43"/>
      <c r="AK213" s="43"/>
      <c r="AL213" s="43"/>
    </row>
    <row r="214">
      <c r="A214" s="92" t="b">
        <v>1</v>
      </c>
      <c r="B214" s="96">
        <v>45964.0</v>
      </c>
      <c r="C214" s="50" t="s">
        <v>219</v>
      </c>
      <c r="D214" s="97" t="s">
        <v>708</v>
      </c>
      <c r="E214" s="97" t="s">
        <v>691</v>
      </c>
      <c r="F214" s="97" t="s">
        <v>514</v>
      </c>
      <c r="G214" s="98">
        <v>4485400.0</v>
      </c>
      <c r="H214" s="50" t="s">
        <v>659</v>
      </c>
      <c r="I214" s="50">
        <v>4.0</v>
      </c>
      <c r="J214" s="98">
        <f>(G214*I214)/105</f>
        <v>170872.381</v>
      </c>
      <c r="K214" s="98">
        <f t="shared" si="2"/>
        <v>8543.619048</v>
      </c>
      <c r="L214" s="50">
        <v>50.0</v>
      </c>
      <c r="M214" s="98">
        <f t="shared" si="13"/>
        <v>85436.19048</v>
      </c>
      <c r="N214" s="98">
        <f>J214*0.05</f>
        <v>8543.619048</v>
      </c>
      <c r="O214" s="98"/>
      <c r="P214" s="98"/>
      <c r="Q214" s="99">
        <f t="shared" si="69"/>
        <v>76892.57143</v>
      </c>
      <c r="R214" s="112">
        <v>45985.0</v>
      </c>
      <c r="S214" s="50"/>
      <c r="T214" s="50" t="s">
        <v>709</v>
      </c>
      <c r="U214" s="51"/>
      <c r="V214" s="51"/>
      <c r="W214" s="51"/>
      <c r="X214" s="55"/>
      <c r="Y214" s="52"/>
      <c r="Z214" s="52"/>
      <c r="AA214" s="52"/>
      <c r="AB214" s="52"/>
      <c r="AC214" s="52"/>
      <c r="AD214" s="52"/>
      <c r="AE214" s="52"/>
      <c r="AF214" s="52"/>
      <c r="AG214" s="52"/>
      <c r="AH214" s="52"/>
      <c r="AI214" s="52"/>
      <c r="AJ214" s="52"/>
      <c r="AK214" s="52"/>
      <c r="AL214" s="52"/>
    </row>
    <row r="215">
      <c r="A215" s="92" t="b">
        <v>0</v>
      </c>
      <c r="B215" s="46">
        <v>45967.0</v>
      </c>
      <c r="C215" s="39" t="s">
        <v>150</v>
      </c>
      <c r="D215" s="37" t="s">
        <v>710</v>
      </c>
      <c r="E215" s="37" t="s">
        <v>711</v>
      </c>
      <c r="F215" s="37" t="s">
        <v>343</v>
      </c>
      <c r="G215" s="38">
        <v>789249.18</v>
      </c>
      <c r="H215" s="39" t="s">
        <v>223</v>
      </c>
      <c r="I215" s="39">
        <v>4.0</v>
      </c>
      <c r="J215" s="38">
        <f t="shared" ref="J215:J278" si="82">(G215*I215)/100</f>
        <v>31569.9672</v>
      </c>
      <c r="K215" s="38">
        <f t="shared" si="2"/>
        <v>1578.49836</v>
      </c>
      <c r="L215" s="39">
        <v>88.0</v>
      </c>
      <c r="M215" s="38">
        <f t="shared" si="13"/>
        <v>27781.57114</v>
      </c>
      <c r="N215" s="38">
        <f t="shared" ref="N215:N217" si="83">J215*0.01</f>
        <v>315.699672</v>
      </c>
      <c r="O215" s="38"/>
      <c r="P215" s="38"/>
      <c r="Q215" s="40">
        <f t="shared" si="69"/>
        <v>3472.696392</v>
      </c>
      <c r="R215" s="49">
        <v>45968.0</v>
      </c>
      <c r="S215" s="49">
        <v>45995.0</v>
      </c>
      <c r="T215" s="47"/>
      <c r="U215" s="47"/>
      <c r="V215" s="47"/>
      <c r="W215" s="47"/>
      <c r="X215" s="45"/>
      <c r="Y215" s="43"/>
      <c r="Z215" s="52"/>
      <c r="AA215" s="52"/>
      <c r="AB215" s="52"/>
      <c r="AC215" s="52"/>
      <c r="AD215" s="52"/>
      <c r="AE215" s="52"/>
      <c r="AF215" s="52"/>
      <c r="AG215" s="52"/>
      <c r="AH215" s="52"/>
      <c r="AI215" s="52"/>
      <c r="AJ215" s="52"/>
      <c r="AK215" s="52"/>
      <c r="AL215" s="52"/>
    </row>
    <row r="216">
      <c r="A216" s="92" t="b">
        <v>0</v>
      </c>
      <c r="B216" s="46">
        <v>45968.0</v>
      </c>
      <c r="C216" s="39" t="s">
        <v>150</v>
      </c>
      <c r="D216" s="37" t="s">
        <v>712</v>
      </c>
      <c r="E216" s="37" t="s">
        <v>559</v>
      </c>
      <c r="F216" s="37" t="s">
        <v>173</v>
      </c>
      <c r="G216" s="38">
        <v>5141000.0</v>
      </c>
      <c r="H216" s="39" t="s">
        <v>556</v>
      </c>
      <c r="I216" s="39">
        <v>5.0</v>
      </c>
      <c r="J216" s="38">
        <f t="shared" si="82"/>
        <v>257050</v>
      </c>
      <c r="K216" s="38">
        <f t="shared" si="2"/>
        <v>12852.5</v>
      </c>
      <c r="L216" s="39">
        <v>90.0</v>
      </c>
      <c r="M216" s="38">
        <f t="shared" si="13"/>
        <v>231345</v>
      </c>
      <c r="N216" s="38">
        <f t="shared" si="83"/>
        <v>2570.5</v>
      </c>
      <c r="O216" s="38"/>
      <c r="P216" s="38"/>
      <c r="Q216" s="40">
        <f t="shared" si="69"/>
        <v>23134.5</v>
      </c>
      <c r="R216" s="49">
        <v>46014.0</v>
      </c>
      <c r="S216" s="49">
        <v>46059.0</v>
      </c>
      <c r="T216" s="47"/>
      <c r="U216" s="47"/>
      <c r="V216" s="47"/>
      <c r="W216" s="47"/>
      <c r="X216" s="45"/>
      <c r="Y216" s="43"/>
      <c r="Z216" s="43"/>
      <c r="AA216" s="43"/>
      <c r="AB216" s="43"/>
      <c r="AC216" s="43"/>
      <c r="AD216" s="43"/>
      <c r="AE216" s="43"/>
      <c r="AF216" s="43"/>
      <c r="AG216" s="43"/>
      <c r="AH216" s="43"/>
      <c r="AI216" s="43"/>
      <c r="AJ216" s="43"/>
      <c r="AK216" s="43"/>
      <c r="AL216" s="43"/>
    </row>
    <row r="217">
      <c r="A217" s="92" t="b">
        <v>1</v>
      </c>
      <c r="B217" s="96">
        <v>45971.0</v>
      </c>
      <c r="C217" s="50" t="s">
        <v>150</v>
      </c>
      <c r="D217" s="97" t="s">
        <v>713</v>
      </c>
      <c r="E217" s="97" t="s">
        <v>714</v>
      </c>
      <c r="F217" s="97" t="s">
        <v>715</v>
      </c>
      <c r="G217" s="98">
        <v>1447000.0</v>
      </c>
      <c r="H217" s="50" t="s">
        <v>716</v>
      </c>
      <c r="I217" s="50">
        <v>5.0</v>
      </c>
      <c r="J217" s="98">
        <f t="shared" si="82"/>
        <v>72350</v>
      </c>
      <c r="K217" s="98">
        <f t="shared" si="2"/>
        <v>3617.5</v>
      </c>
      <c r="L217" s="50">
        <v>88.0</v>
      </c>
      <c r="M217" s="98">
        <f t="shared" si="13"/>
        <v>63668</v>
      </c>
      <c r="N217" s="98">
        <f t="shared" si="83"/>
        <v>723.5</v>
      </c>
      <c r="O217" s="98"/>
      <c r="P217" s="98"/>
      <c r="Q217" s="99">
        <f t="shared" si="69"/>
        <v>7958.5</v>
      </c>
      <c r="R217" s="112">
        <v>45987.0</v>
      </c>
      <c r="S217" s="50"/>
      <c r="T217" s="50" t="s">
        <v>717</v>
      </c>
      <c r="U217" s="51"/>
      <c r="V217" s="51"/>
      <c r="W217" s="51"/>
      <c r="X217" s="55"/>
      <c r="Y217" s="52"/>
      <c r="Z217" s="43"/>
      <c r="AA217" s="43"/>
      <c r="AB217" s="43"/>
      <c r="AC217" s="43"/>
      <c r="AD217" s="43"/>
      <c r="AE217" s="43"/>
      <c r="AF217" s="43"/>
      <c r="AG217" s="43"/>
      <c r="AH217" s="43"/>
      <c r="AI217" s="43"/>
      <c r="AJ217" s="43"/>
      <c r="AK217" s="43"/>
      <c r="AL217" s="43"/>
    </row>
    <row r="218">
      <c r="A218" s="92" t="b">
        <v>1</v>
      </c>
      <c r="B218" s="96">
        <v>45980.0</v>
      </c>
      <c r="C218" s="50" t="s">
        <v>150</v>
      </c>
      <c r="D218" s="97" t="s">
        <v>718</v>
      </c>
      <c r="E218" s="97" t="s">
        <v>719</v>
      </c>
      <c r="F218" s="97"/>
      <c r="G218" s="98">
        <v>1744200.0</v>
      </c>
      <c r="H218" s="50" t="s">
        <v>720</v>
      </c>
      <c r="I218" s="50">
        <v>7.0</v>
      </c>
      <c r="J218" s="98">
        <f t="shared" si="82"/>
        <v>122094</v>
      </c>
      <c r="K218" s="98">
        <f t="shared" si="2"/>
        <v>6104.7</v>
      </c>
      <c r="L218" s="50">
        <v>90.0</v>
      </c>
      <c r="M218" s="98">
        <f t="shared" si="13"/>
        <v>109884.6</v>
      </c>
      <c r="N218" s="98"/>
      <c r="O218" s="98"/>
      <c r="P218" s="98"/>
      <c r="Q218" s="99">
        <f t="shared" si="69"/>
        <v>12209.4</v>
      </c>
      <c r="R218" s="112">
        <v>46045.0</v>
      </c>
      <c r="S218" s="50"/>
      <c r="T218" s="50" t="s">
        <v>721</v>
      </c>
      <c r="U218" s="51"/>
      <c r="V218" s="51"/>
      <c r="W218" s="51"/>
      <c r="X218" s="55"/>
      <c r="Y218" s="52"/>
      <c r="Z218" s="52"/>
      <c r="AA218" s="52"/>
      <c r="AB218" s="52"/>
      <c r="AC218" s="52"/>
      <c r="AD218" s="52"/>
      <c r="AE218" s="52"/>
      <c r="AF218" s="52"/>
      <c r="AG218" s="52"/>
      <c r="AH218" s="52"/>
      <c r="AI218" s="52"/>
      <c r="AJ218" s="52"/>
      <c r="AK218" s="52"/>
      <c r="AL218" s="52"/>
    </row>
    <row r="219">
      <c r="A219" s="92" t="b">
        <v>0</v>
      </c>
      <c r="B219" s="46">
        <v>45985.0</v>
      </c>
      <c r="C219" s="39" t="s">
        <v>150</v>
      </c>
      <c r="D219" s="37" t="s">
        <v>722</v>
      </c>
      <c r="E219" s="37" t="s">
        <v>200</v>
      </c>
      <c r="F219" s="37" t="s">
        <v>723</v>
      </c>
      <c r="G219" s="38">
        <v>827800.0</v>
      </c>
      <c r="H219" s="39" t="s">
        <v>724</v>
      </c>
      <c r="I219" s="39">
        <v>6.0</v>
      </c>
      <c r="J219" s="38">
        <f t="shared" si="82"/>
        <v>49668</v>
      </c>
      <c r="K219" s="38">
        <f t="shared" si="2"/>
        <v>2483.4</v>
      </c>
      <c r="L219" s="39">
        <v>80.0</v>
      </c>
      <c r="M219" s="38">
        <f t="shared" si="13"/>
        <v>39734.4</v>
      </c>
      <c r="N219" s="38">
        <f>J219*0.08</f>
        <v>3973.44</v>
      </c>
      <c r="O219" s="38"/>
      <c r="P219" s="38"/>
      <c r="Q219" s="40">
        <f t="shared" si="69"/>
        <v>5960.16</v>
      </c>
      <c r="R219" s="49">
        <v>46027.0</v>
      </c>
      <c r="S219" s="49">
        <v>46048.0</v>
      </c>
      <c r="T219" s="47"/>
      <c r="U219" s="47"/>
      <c r="V219" s="47"/>
      <c r="W219" s="47"/>
      <c r="X219" s="45"/>
      <c r="Y219" s="43"/>
      <c r="Z219" s="52"/>
      <c r="AA219" s="52"/>
      <c r="AB219" s="52"/>
      <c r="AC219" s="52"/>
      <c r="AD219" s="52"/>
      <c r="AE219" s="52"/>
      <c r="AF219" s="52"/>
      <c r="AG219" s="52"/>
      <c r="AH219" s="52"/>
      <c r="AI219" s="52"/>
      <c r="AJ219" s="52"/>
      <c r="AK219" s="52"/>
      <c r="AL219" s="52"/>
    </row>
    <row r="220">
      <c r="A220" s="92" t="b">
        <v>1</v>
      </c>
      <c r="B220" s="46">
        <v>45988.0</v>
      </c>
      <c r="C220" s="39" t="s">
        <v>150</v>
      </c>
      <c r="D220" s="37" t="s">
        <v>725</v>
      </c>
      <c r="E220" s="37" t="s">
        <v>726</v>
      </c>
      <c r="F220" s="37" t="s">
        <v>727</v>
      </c>
      <c r="G220" s="38">
        <v>1124752.0</v>
      </c>
      <c r="H220" s="39" t="s">
        <v>171</v>
      </c>
      <c r="I220" s="39">
        <v>5.0</v>
      </c>
      <c r="J220" s="38">
        <f t="shared" si="82"/>
        <v>56237.6</v>
      </c>
      <c r="K220" s="38">
        <f t="shared" si="2"/>
        <v>2811.88</v>
      </c>
      <c r="L220" s="39">
        <v>76.0</v>
      </c>
      <c r="M220" s="38">
        <f t="shared" si="13"/>
        <v>42740.576</v>
      </c>
      <c r="N220" s="38">
        <f>J220*0.12</f>
        <v>6748.512</v>
      </c>
      <c r="O220" s="38"/>
      <c r="P220" s="38"/>
      <c r="Q220" s="40">
        <f t="shared" si="69"/>
        <v>6748.512</v>
      </c>
      <c r="R220" s="49">
        <v>46029.0</v>
      </c>
      <c r="S220" s="49">
        <v>46106.0</v>
      </c>
      <c r="T220" s="39" t="s">
        <v>728</v>
      </c>
      <c r="U220" s="47"/>
      <c r="V220" s="47"/>
      <c r="W220" s="47"/>
      <c r="X220" s="45"/>
      <c r="Y220" s="43"/>
      <c r="Z220" s="43"/>
      <c r="AA220" s="43"/>
      <c r="AB220" s="43"/>
      <c r="AC220" s="43"/>
      <c r="AD220" s="43"/>
      <c r="AE220" s="43"/>
      <c r="AF220" s="43"/>
      <c r="AG220" s="43"/>
      <c r="AH220" s="43"/>
      <c r="AI220" s="43"/>
      <c r="AJ220" s="43"/>
      <c r="AK220" s="43"/>
      <c r="AL220" s="43"/>
    </row>
    <row r="221">
      <c r="A221" s="92" t="b">
        <v>1</v>
      </c>
      <c r="B221" s="96">
        <v>45988.0</v>
      </c>
      <c r="C221" s="50" t="s">
        <v>157</v>
      </c>
      <c r="D221" s="97" t="s">
        <v>729</v>
      </c>
      <c r="E221" s="97" t="s">
        <v>730</v>
      </c>
      <c r="F221" s="97" t="s">
        <v>514</v>
      </c>
      <c r="G221" s="98">
        <v>1991215.0</v>
      </c>
      <c r="H221" s="50" t="s">
        <v>659</v>
      </c>
      <c r="I221" s="50">
        <v>4.0</v>
      </c>
      <c r="J221" s="98">
        <f t="shared" si="82"/>
        <v>79648.6</v>
      </c>
      <c r="K221" s="98">
        <f t="shared" si="2"/>
        <v>3982.43</v>
      </c>
      <c r="L221" s="50">
        <v>86.0</v>
      </c>
      <c r="M221" s="98">
        <f t="shared" si="13"/>
        <v>68497.796</v>
      </c>
      <c r="N221" s="98">
        <f>J221*0.02</f>
        <v>1592.972</v>
      </c>
      <c r="O221" s="98"/>
      <c r="P221" s="98"/>
      <c r="Q221" s="99">
        <f t="shared" si="69"/>
        <v>9557.832</v>
      </c>
      <c r="R221" s="112">
        <v>46018.0</v>
      </c>
      <c r="S221" s="50"/>
      <c r="T221" s="50" t="s">
        <v>731</v>
      </c>
      <c r="U221" s="51"/>
      <c r="V221" s="51"/>
      <c r="W221" s="51"/>
      <c r="X221" s="55"/>
      <c r="Y221" s="52"/>
      <c r="Z221" s="52"/>
      <c r="AA221" s="52"/>
      <c r="AB221" s="52"/>
      <c r="AC221" s="52"/>
      <c r="AD221" s="52"/>
      <c r="AE221" s="52"/>
      <c r="AF221" s="52"/>
      <c r="AG221" s="52"/>
      <c r="AH221" s="52"/>
      <c r="AI221" s="52"/>
      <c r="AJ221" s="52"/>
      <c r="AK221" s="52"/>
      <c r="AL221" s="52"/>
    </row>
    <row r="222">
      <c r="A222" s="92" t="b">
        <v>0</v>
      </c>
      <c r="B222" s="46">
        <v>45989.0</v>
      </c>
      <c r="C222" s="39" t="s">
        <v>150</v>
      </c>
      <c r="D222" s="37" t="s">
        <v>732</v>
      </c>
      <c r="E222" s="37" t="s">
        <v>733</v>
      </c>
      <c r="F222" s="37"/>
      <c r="G222" s="38">
        <v>5027000.0</v>
      </c>
      <c r="H222" s="39" t="s">
        <v>734</v>
      </c>
      <c r="I222" s="39">
        <v>5.0</v>
      </c>
      <c r="J222" s="38">
        <f t="shared" si="82"/>
        <v>251350</v>
      </c>
      <c r="K222" s="38">
        <f t="shared" si="2"/>
        <v>12567.5</v>
      </c>
      <c r="L222" s="39">
        <v>90.0</v>
      </c>
      <c r="M222" s="38">
        <f t="shared" si="13"/>
        <v>226215</v>
      </c>
      <c r="N222" s="38"/>
      <c r="O222" s="38"/>
      <c r="P222" s="38"/>
      <c r="Q222" s="40">
        <f t="shared" si="69"/>
        <v>25135</v>
      </c>
      <c r="R222" s="49">
        <v>46048.0</v>
      </c>
      <c r="S222" s="49">
        <v>45691.0</v>
      </c>
      <c r="T222" s="47"/>
      <c r="U222" s="47"/>
      <c r="V222" s="47"/>
      <c r="W222" s="47"/>
      <c r="X222" s="45"/>
      <c r="Y222" s="43"/>
      <c r="Z222" s="52"/>
      <c r="AA222" s="52"/>
      <c r="AB222" s="52"/>
      <c r="AC222" s="52"/>
      <c r="AD222" s="52"/>
      <c r="AE222" s="52"/>
      <c r="AF222" s="52"/>
      <c r="AG222" s="52"/>
      <c r="AH222" s="52"/>
      <c r="AI222" s="52"/>
      <c r="AJ222" s="52"/>
      <c r="AK222" s="52"/>
      <c r="AL222" s="52"/>
    </row>
    <row r="223">
      <c r="A223" s="92" t="b">
        <v>1</v>
      </c>
      <c r="B223" s="46">
        <v>45991.0</v>
      </c>
      <c r="C223" s="39" t="s">
        <v>150</v>
      </c>
      <c r="D223" s="37" t="s">
        <v>735</v>
      </c>
      <c r="E223" s="37" t="s">
        <v>681</v>
      </c>
      <c r="F223" s="37" t="s">
        <v>44</v>
      </c>
      <c r="G223" s="38">
        <v>2821055.0</v>
      </c>
      <c r="H223" s="39" t="s">
        <v>682</v>
      </c>
      <c r="I223" s="39">
        <v>5.0</v>
      </c>
      <c r="J223" s="38">
        <f t="shared" si="82"/>
        <v>141052.75</v>
      </c>
      <c r="K223" s="38">
        <f t="shared" si="2"/>
        <v>7052.6375</v>
      </c>
      <c r="L223" s="39">
        <v>88.0</v>
      </c>
      <c r="M223" s="38">
        <f t="shared" si="13"/>
        <v>124126.42</v>
      </c>
      <c r="N223" s="38"/>
      <c r="O223" s="38"/>
      <c r="P223" s="38"/>
      <c r="Q223" s="40">
        <f t="shared" si="69"/>
        <v>16926.33</v>
      </c>
      <c r="R223" s="49">
        <v>46055.0</v>
      </c>
      <c r="S223" s="49">
        <v>46095.0</v>
      </c>
      <c r="T223" s="39" t="s">
        <v>736</v>
      </c>
      <c r="U223" s="39" t="s">
        <v>683</v>
      </c>
      <c r="V223" s="47"/>
      <c r="W223" s="47"/>
      <c r="X223" s="45"/>
      <c r="Y223" s="43"/>
      <c r="Z223" s="43"/>
      <c r="AA223" s="43"/>
      <c r="AB223" s="43"/>
      <c r="AC223" s="43"/>
      <c r="AD223" s="43"/>
      <c r="AE223" s="43"/>
      <c r="AF223" s="43"/>
      <c r="AG223" s="43"/>
      <c r="AH223" s="43"/>
      <c r="AI223" s="43"/>
      <c r="AJ223" s="43"/>
      <c r="AK223" s="43"/>
      <c r="AL223" s="43"/>
    </row>
    <row r="224">
      <c r="A224" s="92" t="b">
        <v>0</v>
      </c>
      <c r="B224" s="46">
        <v>45993.0</v>
      </c>
      <c r="C224" s="39" t="s">
        <v>219</v>
      </c>
      <c r="D224" s="37" t="s">
        <v>737</v>
      </c>
      <c r="E224" s="37" t="s">
        <v>570</v>
      </c>
      <c r="F224" s="37" t="s">
        <v>514</v>
      </c>
      <c r="G224" s="38">
        <v>704470.0</v>
      </c>
      <c r="H224" s="39" t="s">
        <v>738</v>
      </c>
      <c r="I224" s="39">
        <v>5.0</v>
      </c>
      <c r="J224" s="38">
        <f t="shared" si="82"/>
        <v>35223.5</v>
      </c>
      <c r="K224" s="38">
        <f t="shared" si="2"/>
        <v>1761.175</v>
      </c>
      <c r="L224" s="39">
        <v>50.0</v>
      </c>
      <c r="M224" s="38">
        <f t="shared" si="13"/>
        <v>17611.75</v>
      </c>
      <c r="N224" s="38">
        <f>J224*0.05</f>
        <v>1761.175</v>
      </c>
      <c r="O224" s="38"/>
      <c r="P224" s="38"/>
      <c r="Q224" s="40">
        <f t="shared" si="69"/>
        <v>15850.575</v>
      </c>
      <c r="R224" s="35">
        <v>46020.0</v>
      </c>
      <c r="S224" s="49">
        <v>46080.0</v>
      </c>
      <c r="T224" s="47"/>
      <c r="U224" s="47"/>
      <c r="V224" s="47"/>
      <c r="W224" s="47"/>
      <c r="X224" s="45"/>
      <c r="Y224" s="43"/>
      <c r="Z224" s="43"/>
      <c r="AA224" s="43"/>
      <c r="AB224" s="43"/>
      <c r="AC224" s="43"/>
      <c r="AD224" s="43"/>
      <c r="AE224" s="43"/>
      <c r="AF224" s="43"/>
      <c r="AG224" s="43"/>
      <c r="AH224" s="43"/>
      <c r="AI224" s="43"/>
      <c r="AJ224" s="43"/>
      <c r="AK224" s="43"/>
      <c r="AL224" s="43"/>
    </row>
    <row r="225">
      <c r="A225" s="92" t="b">
        <v>1</v>
      </c>
      <c r="B225" s="113">
        <v>45996.0</v>
      </c>
      <c r="C225" s="18" t="s">
        <v>150</v>
      </c>
      <c r="D225" s="17" t="s">
        <v>739</v>
      </c>
      <c r="E225" s="17" t="s">
        <v>200</v>
      </c>
      <c r="F225" s="17" t="s">
        <v>740</v>
      </c>
      <c r="G225" s="109">
        <v>1940000.0</v>
      </c>
      <c r="H225" s="18" t="s">
        <v>194</v>
      </c>
      <c r="I225" s="18">
        <v>5.0</v>
      </c>
      <c r="J225" s="109">
        <f t="shared" si="82"/>
        <v>97000</v>
      </c>
      <c r="K225" s="109">
        <f t="shared" si="2"/>
        <v>4850</v>
      </c>
      <c r="L225" s="18">
        <v>80.0</v>
      </c>
      <c r="M225" s="109">
        <f t="shared" si="13"/>
        <v>77600</v>
      </c>
      <c r="N225" s="109">
        <f>J225*0.08</f>
        <v>7760</v>
      </c>
      <c r="O225" s="109"/>
      <c r="P225" s="109"/>
      <c r="Q225" s="110">
        <f t="shared" si="69"/>
        <v>11640</v>
      </c>
      <c r="R225" s="18"/>
      <c r="S225" s="18"/>
      <c r="T225" s="114"/>
      <c r="U225" s="114"/>
      <c r="V225" s="114"/>
      <c r="W225" s="114"/>
      <c r="X225" s="4"/>
      <c r="Y225" s="8"/>
      <c r="Z225" s="8"/>
      <c r="AA225" s="8"/>
      <c r="AB225" s="8"/>
      <c r="AC225" s="8"/>
      <c r="AD225" s="8"/>
      <c r="AE225" s="8"/>
      <c r="AF225" s="8"/>
      <c r="AG225" s="8"/>
      <c r="AH225" s="8"/>
      <c r="AI225" s="8"/>
      <c r="AJ225" s="8"/>
      <c r="AK225" s="8"/>
      <c r="AL225" s="8"/>
    </row>
    <row r="226">
      <c r="A226" s="92" t="b">
        <v>0</v>
      </c>
      <c r="B226" s="46">
        <v>45998.0</v>
      </c>
      <c r="C226" s="39" t="s">
        <v>150</v>
      </c>
      <c r="D226" s="37" t="s">
        <v>741</v>
      </c>
      <c r="E226" s="37" t="s">
        <v>237</v>
      </c>
      <c r="F226" s="37"/>
      <c r="G226" s="38">
        <v>788738.49</v>
      </c>
      <c r="H226" s="39" t="s">
        <v>609</v>
      </c>
      <c r="I226" s="39">
        <v>6.0</v>
      </c>
      <c r="J226" s="38">
        <f t="shared" si="82"/>
        <v>47324.3094</v>
      </c>
      <c r="K226" s="38">
        <f t="shared" si="2"/>
        <v>2366.21547</v>
      </c>
      <c r="L226" s="39">
        <v>90.0</v>
      </c>
      <c r="M226" s="38">
        <f t="shared" si="13"/>
        <v>42591.87846</v>
      </c>
      <c r="N226" s="38"/>
      <c r="O226" s="38"/>
      <c r="P226" s="38"/>
      <c r="Q226" s="40">
        <f t="shared" si="69"/>
        <v>4732.43094</v>
      </c>
      <c r="R226" s="35">
        <v>46001.0</v>
      </c>
      <c r="S226" s="35">
        <v>46017.0</v>
      </c>
      <c r="T226" s="39" t="s">
        <v>742</v>
      </c>
      <c r="U226" s="47"/>
      <c r="V226" s="47"/>
      <c r="W226" s="47"/>
      <c r="X226" s="45"/>
      <c r="Y226" s="43"/>
      <c r="Z226" s="43"/>
      <c r="AA226" s="43"/>
      <c r="AB226" s="43"/>
      <c r="AC226" s="43"/>
      <c r="AD226" s="43"/>
      <c r="AE226" s="43"/>
      <c r="AF226" s="43"/>
      <c r="AG226" s="43"/>
      <c r="AH226" s="43"/>
      <c r="AI226" s="43"/>
      <c r="AJ226" s="43"/>
      <c r="AK226" s="43"/>
      <c r="AL226" s="43"/>
    </row>
    <row r="227">
      <c r="A227" s="92" t="b">
        <v>0</v>
      </c>
      <c r="B227" s="46">
        <v>45998.0</v>
      </c>
      <c r="C227" s="39" t="s">
        <v>150</v>
      </c>
      <c r="D227" s="37" t="s">
        <v>741</v>
      </c>
      <c r="E227" s="37" t="s">
        <v>237</v>
      </c>
      <c r="F227" s="37"/>
      <c r="G227" s="38">
        <v>809555.88</v>
      </c>
      <c r="H227" s="39" t="s">
        <v>609</v>
      </c>
      <c r="I227" s="39">
        <v>6.0</v>
      </c>
      <c r="J227" s="38">
        <f t="shared" si="82"/>
        <v>48573.3528</v>
      </c>
      <c r="K227" s="38">
        <f t="shared" si="2"/>
        <v>2428.66764</v>
      </c>
      <c r="L227" s="39">
        <v>90.0</v>
      </c>
      <c r="M227" s="38">
        <f t="shared" si="13"/>
        <v>43716.01752</v>
      </c>
      <c r="N227" s="38"/>
      <c r="O227" s="38"/>
      <c r="P227" s="38"/>
      <c r="Q227" s="40">
        <f t="shared" si="69"/>
        <v>4857.33528</v>
      </c>
      <c r="R227" s="35">
        <v>46001.0</v>
      </c>
      <c r="S227" s="35">
        <v>46017.0</v>
      </c>
      <c r="T227" s="39" t="s">
        <v>742</v>
      </c>
      <c r="U227" s="47"/>
      <c r="V227" s="47"/>
      <c r="W227" s="47"/>
      <c r="X227" s="45"/>
      <c r="Y227" s="43"/>
      <c r="Z227" s="43"/>
      <c r="AA227" s="43"/>
      <c r="AB227" s="43"/>
      <c r="AC227" s="43"/>
      <c r="AD227" s="43"/>
      <c r="AE227" s="43"/>
      <c r="AF227" s="43"/>
      <c r="AG227" s="43"/>
      <c r="AH227" s="43"/>
      <c r="AI227" s="43"/>
      <c r="AJ227" s="43"/>
      <c r="AK227" s="43"/>
      <c r="AL227" s="43"/>
    </row>
    <row r="228">
      <c r="A228" s="92" t="b">
        <v>1</v>
      </c>
      <c r="B228" s="96">
        <v>46002.0</v>
      </c>
      <c r="C228" s="50" t="s">
        <v>150</v>
      </c>
      <c r="D228" s="97" t="s">
        <v>743</v>
      </c>
      <c r="E228" s="97" t="s">
        <v>200</v>
      </c>
      <c r="F228" s="97" t="s">
        <v>156</v>
      </c>
      <c r="G228" s="98">
        <v>2423200.0</v>
      </c>
      <c r="H228" s="50" t="s">
        <v>744</v>
      </c>
      <c r="I228" s="50">
        <v>4.0</v>
      </c>
      <c r="J228" s="98">
        <f t="shared" si="82"/>
        <v>96928</v>
      </c>
      <c r="K228" s="98">
        <f t="shared" si="2"/>
        <v>4846.4</v>
      </c>
      <c r="L228" s="50">
        <v>88.0</v>
      </c>
      <c r="M228" s="98">
        <f t="shared" si="13"/>
        <v>85296.64</v>
      </c>
      <c r="N228" s="98"/>
      <c r="O228" s="98"/>
      <c r="P228" s="98"/>
      <c r="Q228" s="99">
        <f t="shared" si="69"/>
        <v>11631.36</v>
      </c>
      <c r="R228" s="111">
        <v>46070.0</v>
      </c>
      <c r="S228" s="50"/>
      <c r="T228" s="51"/>
      <c r="U228" s="51"/>
      <c r="V228" s="51"/>
      <c r="W228" s="51"/>
      <c r="X228" s="55"/>
      <c r="Y228" s="52"/>
      <c r="Z228" s="52"/>
      <c r="AA228" s="52"/>
      <c r="AB228" s="52"/>
      <c r="AC228" s="52"/>
      <c r="AD228" s="52"/>
      <c r="AE228" s="52"/>
      <c r="AF228" s="52"/>
      <c r="AG228" s="52"/>
      <c r="AH228" s="52"/>
      <c r="AI228" s="52"/>
      <c r="AJ228" s="52"/>
      <c r="AK228" s="52"/>
      <c r="AL228" s="52"/>
    </row>
    <row r="229">
      <c r="A229" s="92" t="b">
        <v>0</v>
      </c>
      <c r="B229" s="46">
        <v>46007.0</v>
      </c>
      <c r="C229" s="39" t="s">
        <v>219</v>
      </c>
      <c r="D229" s="37" t="s">
        <v>745</v>
      </c>
      <c r="E229" s="37" t="s">
        <v>652</v>
      </c>
      <c r="F229" s="37" t="s">
        <v>514</v>
      </c>
      <c r="G229" s="38">
        <v>740000.01</v>
      </c>
      <c r="H229" s="39" t="s">
        <v>279</v>
      </c>
      <c r="I229" s="39">
        <v>6.0</v>
      </c>
      <c r="J229" s="38">
        <f t="shared" si="82"/>
        <v>44400.0006</v>
      </c>
      <c r="K229" s="38">
        <f t="shared" si="2"/>
        <v>2220.00003</v>
      </c>
      <c r="L229" s="39">
        <v>80.0</v>
      </c>
      <c r="M229" s="38">
        <f t="shared" si="13"/>
        <v>35520.00048</v>
      </c>
      <c r="N229" s="38">
        <f>J229*0.05</f>
        <v>2220.00003</v>
      </c>
      <c r="O229" s="38"/>
      <c r="P229" s="38"/>
      <c r="Q229" s="40">
        <f t="shared" si="69"/>
        <v>6660.00009</v>
      </c>
      <c r="R229" s="49">
        <v>45671.0</v>
      </c>
      <c r="S229" s="49">
        <v>45676.0</v>
      </c>
      <c r="T229" s="47"/>
      <c r="U229" s="47"/>
      <c r="V229" s="47"/>
      <c r="W229" s="47"/>
      <c r="X229" s="45"/>
      <c r="Y229" s="43"/>
      <c r="Z229" s="43"/>
      <c r="AA229" s="43"/>
      <c r="AB229" s="43"/>
      <c r="AC229" s="43"/>
      <c r="AD229" s="43"/>
      <c r="AE229" s="43"/>
      <c r="AF229" s="43"/>
      <c r="AG229" s="43"/>
      <c r="AH229" s="43"/>
      <c r="AI229" s="43"/>
      <c r="AJ229" s="43"/>
      <c r="AK229" s="43"/>
      <c r="AL229" s="43"/>
    </row>
    <row r="230">
      <c r="A230" s="92" t="b">
        <v>0</v>
      </c>
      <c r="B230" s="46">
        <v>46011.0</v>
      </c>
      <c r="C230" s="39" t="s">
        <v>150</v>
      </c>
      <c r="D230" s="37" t="s">
        <v>746</v>
      </c>
      <c r="E230" s="37" t="s">
        <v>747</v>
      </c>
      <c r="F230" s="37"/>
      <c r="G230" s="38">
        <v>2579411.0</v>
      </c>
      <c r="H230" s="39" t="s">
        <v>361</v>
      </c>
      <c r="I230" s="39">
        <v>5.0</v>
      </c>
      <c r="J230" s="38">
        <f t="shared" si="82"/>
        <v>128970.55</v>
      </c>
      <c r="K230" s="38">
        <f t="shared" si="2"/>
        <v>6448.5275</v>
      </c>
      <c r="L230" s="39">
        <v>90.0</v>
      </c>
      <c r="M230" s="38">
        <f t="shared" si="13"/>
        <v>116073.495</v>
      </c>
      <c r="N230" s="38"/>
      <c r="O230" s="38"/>
      <c r="P230" s="38"/>
      <c r="Q230" s="40">
        <f t="shared" si="69"/>
        <v>12897.055</v>
      </c>
      <c r="R230" s="49">
        <v>46030.0</v>
      </c>
      <c r="S230" s="49">
        <v>46046.0</v>
      </c>
      <c r="T230" s="47"/>
      <c r="U230" s="47"/>
      <c r="V230" s="47"/>
      <c r="W230" s="47"/>
      <c r="X230" s="45"/>
      <c r="Y230" s="43"/>
      <c r="Z230" s="43"/>
      <c r="AA230" s="43"/>
      <c r="AB230" s="43"/>
      <c r="AC230" s="43"/>
      <c r="AD230" s="43"/>
      <c r="AE230" s="43"/>
      <c r="AF230" s="43"/>
      <c r="AG230" s="43"/>
      <c r="AH230" s="43"/>
      <c r="AI230" s="43"/>
      <c r="AJ230" s="43"/>
      <c r="AK230" s="43"/>
      <c r="AL230" s="43"/>
    </row>
    <row r="231">
      <c r="A231" s="92" t="b">
        <v>1</v>
      </c>
      <c r="B231" s="46">
        <v>46017.0</v>
      </c>
      <c r="C231" s="39" t="s">
        <v>219</v>
      </c>
      <c r="D231" s="37" t="s">
        <v>748</v>
      </c>
      <c r="E231" s="37" t="s">
        <v>661</v>
      </c>
      <c r="F231" s="45" t="s">
        <v>749</v>
      </c>
      <c r="G231" s="38">
        <v>1673943.35</v>
      </c>
      <c r="H231" s="39" t="s">
        <v>515</v>
      </c>
      <c r="I231" s="39">
        <v>5.0</v>
      </c>
      <c r="J231" s="38">
        <f t="shared" si="82"/>
        <v>83697.1675</v>
      </c>
      <c r="K231" s="38">
        <f t="shared" si="2"/>
        <v>4184.858375</v>
      </c>
      <c r="L231" s="39">
        <v>50.0</v>
      </c>
      <c r="M231" s="38">
        <f t="shared" si="13"/>
        <v>41848.58375</v>
      </c>
      <c r="N231" s="38">
        <f>J231*0.07</f>
        <v>5858.801725</v>
      </c>
      <c r="O231" s="38"/>
      <c r="P231" s="38"/>
      <c r="Q231" s="40">
        <f t="shared" si="69"/>
        <v>35989.78203</v>
      </c>
      <c r="R231" s="49">
        <v>46042.0</v>
      </c>
      <c r="S231" s="49">
        <v>46107.0</v>
      </c>
      <c r="T231" s="39" t="s">
        <v>750</v>
      </c>
      <c r="U231" s="39" t="s">
        <v>751</v>
      </c>
      <c r="V231" s="47"/>
      <c r="W231" s="47"/>
      <c r="X231" s="45"/>
      <c r="Y231" s="43"/>
      <c r="Z231" s="43"/>
      <c r="AA231" s="43"/>
      <c r="AB231" s="43"/>
      <c r="AC231" s="43"/>
      <c r="AD231" s="43"/>
      <c r="AE231" s="43"/>
      <c r="AF231" s="43"/>
      <c r="AG231" s="43"/>
      <c r="AH231" s="43"/>
      <c r="AI231" s="43"/>
      <c r="AJ231" s="43"/>
      <c r="AK231" s="43"/>
      <c r="AL231" s="43"/>
    </row>
    <row r="232">
      <c r="A232" s="92" t="b">
        <v>1</v>
      </c>
      <c r="B232" s="46">
        <v>46020.0</v>
      </c>
      <c r="C232" s="39" t="s">
        <v>150</v>
      </c>
      <c r="D232" s="37" t="s">
        <v>752</v>
      </c>
      <c r="E232" s="45" t="s">
        <v>564</v>
      </c>
      <c r="F232" s="45"/>
      <c r="G232" s="38">
        <v>6821000.0</v>
      </c>
      <c r="H232" s="39" t="s">
        <v>361</v>
      </c>
      <c r="I232" s="39">
        <v>5.0</v>
      </c>
      <c r="J232" s="38">
        <f t="shared" si="82"/>
        <v>341050</v>
      </c>
      <c r="K232" s="38">
        <f t="shared" si="2"/>
        <v>17052.5</v>
      </c>
      <c r="L232" s="39">
        <v>90.0</v>
      </c>
      <c r="M232" s="38">
        <f t="shared" si="13"/>
        <v>306945</v>
      </c>
      <c r="N232" s="38"/>
      <c r="O232" s="43"/>
      <c r="P232" s="43"/>
      <c r="Q232" s="40">
        <f t="shared" si="69"/>
        <v>34105</v>
      </c>
      <c r="R232" s="49">
        <v>46052.0</v>
      </c>
      <c r="S232" s="49">
        <v>46119.0</v>
      </c>
      <c r="T232" s="43"/>
      <c r="U232" s="43"/>
      <c r="V232" s="43"/>
      <c r="W232" s="43"/>
      <c r="X232" s="43"/>
      <c r="Y232" s="43"/>
      <c r="Z232" s="43"/>
      <c r="AA232" s="43"/>
      <c r="AB232" s="43"/>
      <c r="AC232" s="43"/>
      <c r="AD232" s="43"/>
      <c r="AE232" s="43"/>
      <c r="AF232" s="43"/>
      <c r="AG232" s="43"/>
      <c r="AH232" s="43"/>
      <c r="AI232" s="43"/>
      <c r="AJ232" s="43"/>
      <c r="AK232" s="43"/>
      <c r="AL232" s="43"/>
    </row>
    <row r="233">
      <c r="A233" s="92" t="b">
        <v>0</v>
      </c>
      <c r="B233" s="46">
        <v>46024.0</v>
      </c>
      <c r="C233" s="39" t="s">
        <v>150</v>
      </c>
      <c r="D233" s="37" t="s">
        <v>753</v>
      </c>
      <c r="E233" s="45" t="s">
        <v>592</v>
      </c>
      <c r="F233" s="45"/>
      <c r="G233" s="38">
        <v>1290257.14</v>
      </c>
      <c r="H233" s="39" t="s">
        <v>576</v>
      </c>
      <c r="I233" s="39">
        <v>6.0</v>
      </c>
      <c r="J233" s="38">
        <f t="shared" si="82"/>
        <v>77415.4284</v>
      </c>
      <c r="K233" s="38">
        <f t="shared" si="2"/>
        <v>3870.77142</v>
      </c>
      <c r="L233" s="39">
        <v>88.0</v>
      </c>
      <c r="M233" s="38">
        <f t="shared" si="13"/>
        <v>68125.57699</v>
      </c>
      <c r="N233" s="38"/>
      <c r="O233" s="43"/>
      <c r="P233" s="43"/>
      <c r="Q233" s="40">
        <f t="shared" si="69"/>
        <v>9289.851408</v>
      </c>
      <c r="R233" s="49">
        <v>46044.0</v>
      </c>
      <c r="S233" s="49">
        <v>46071.0</v>
      </c>
      <c r="T233" s="45" t="s">
        <v>754</v>
      </c>
      <c r="U233" s="43"/>
      <c r="V233" s="43"/>
      <c r="W233" s="43"/>
      <c r="X233" s="43"/>
      <c r="Y233" s="43"/>
      <c r="Z233" s="43"/>
      <c r="AA233" s="43"/>
      <c r="AB233" s="43"/>
      <c r="AC233" s="43"/>
      <c r="AD233" s="43"/>
      <c r="AE233" s="43"/>
      <c r="AF233" s="43"/>
      <c r="AG233" s="43"/>
      <c r="AH233" s="43"/>
      <c r="AI233" s="43"/>
      <c r="AJ233" s="43"/>
      <c r="AK233" s="43"/>
      <c r="AL233" s="43"/>
    </row>
    <row r="234">
      <c r="A234" s="92" t="b">
        <v>1</v>
      </c>
      <c r="B234" s="96">
        <v>46037.0</v>
      </c>
      <c r="C234" s="50" t="s">
        <v>150</v>
      </c>
      <c r="D234" s="97" t="s">
        <v>755</v>
      </c>
      <c r="E234" s="55" t="s">
        <v>756</v>
      </c>
      <c r="F234" s="55" t="s">
        <v>757</v>
      </c>
      <c r="G234" s="98">
        <v>3518427.0</v>
      </c>
      <c r="H234" s="50" t="s">
        <v>659</v>
      </c>
      <c r="I234" s="50">
        <v>4.0</v>
      </c>
      <c r="J234" s="98">
        <f t="shared" si="82"/>
        <v>140737.08</v>
      </c>
      <c r="K234" s="98">
        <f t="shared" si="2"/>
        <v>7036.854</v>
      </c>
      <c r="L234" s="50">
        <v>88.0</v>
      </c>
      <c r="M234" s="98">
        <f t="shared" si="13"/>
        <v>123848.6304</v>
      </c>
      <c r="N234" s="98">
        <f>J234*0.01</f>
        <v>1407.3708</v>
      </c>
      <c r="O234" s="52"/>
      <c r="P234" s="52"/>
      <c r="Q234" s="99">
        <f t="shared" si="69"/>
        <v>15481.0788</v>
      </c>
      <c r="R234" s="111">
        <v>46067.0</v>
      </c>
      <c r="S234" s="52"/>
      <c r="T234" s="55" t="s">
        <v>758</v>
      </c>
      <c r="U234" s="52"/>
      <c r="V234" s="52"/>
      <c r="W234" s="52"/>
      <c r="X234" s="52"/>
      <c r="Y234" s="52"/>
      <c r="Z234" s="52"/>
      <c r="AA234" s="52"/>
      <c r="AB234" s="52"/>
      <c r="AC234" s="52"/>
      <c r="AD234" s="52"/>
      <c r="AE234" s="52"/>
      <c r="AF234" s="52"/>
      <c r="AG234" s="52"/>
      <c r="AH234" s="52"/>
      <c r="AI234" s="52"/>
      <c r="AJ234" s="52"/>
      <c r="AK234" s="52"/>
      <c r="AL234" s="52"/>
    </row>
    <row r="235">
      <c r="A235" s="92" t="b">
        <v>1</v>
      </c>
      <c r="B235" s="46">
        <v>46037.0</v>
      </c>
      <c r="C235" s="39" t="s">
        <v>150</v>
      </c>
      <c r="D235" s="37" t="s">
        <v>759</v>
      </c>
      <c r="E235" s="45" t="s">
        <v>152</v>
      </c>
      <c r="F235" s="45"/>
      <c r="G235" s="38">
        <v>720000.0</v>
      </c>
      <c r="H235" s="39" t="s">
        <v>695</v>
      </c>
      <c r="I235" s="39">
        <v>5.0</v>
      </c>
      <c r="J235" s="38">
        <f t="shared" si="82"/>
        <v>36000</v>
      </c>
      <c r="K235" s="38">
        <f t="shared" si="2"/>
        <v>1800</v>
      </c>
      <c r="L235" s="39">
        <v>88.0</v>
      </c>
      <c r="M235" s="38">
        <f t="shared" si="13"/>
        <v>31680</v>
      </c>
      <c r="N235" s="38"/>
      <c r="O235" s="43"/>
      <c r="P235" s="43"/>
      <c r="Q235" s="40">
        <f t="shared" si="69"/>
        <v>4320</v>
      </c>
      <c r="R235" s="49">
        <v>46055.0</v>
      </c>
      <c r="S235" s="49">
        <v>46093.0</v>
      </c>
      <c r="T235" s="43"/>
      <c r="U235" s="45" t="s">
        <v>760</v>
      </c>
      <c r="V235" s="43"/>
      <c r="W235" s="43"/>
      <c r="X235" s="43"/>
      <c r="Y235" s="43"/>
      <c r="Z235" s="43"/>
      <c r="AA235" s="43"/>
      <c r="AB235" s="43"/>
      <c r="AC235" s="43"/>
      <c r="AD235" s="43"/>
      <c r="AE235" s="43"/>
      <c r="AF235" s="43"/>
      <c r="AG235" s="43"/>
      <c r="AH235" s="43"/>
      <c r="AI235" s="43"/>
      <c r="AJ235" s="43"/>
      <c r="AK235" s="43"/>
      <c r="AL235" s="43"/>
    </row>
    <row r="236">
      <c r="A236" s="92" t="b">
        <v>1</v>
      </c>
      <c r="B236" s="46">
        <v>46037.0</v>
      </c>
      <c r="C236" s="39" t="s">
        <v>150</v>
      </c>
      <c r="D236" s="37" t="s">
        <v>761</v>
      </c>
      <c r="E236" s="45" t="s">
        <v>152</v>
      </c>
      <c r="F236" s="45"/>
      <c r="G236" s="38">
        <v>1180098.0</v>
      </c>
      <c r="H236" s="39" t="s">
        <v>695</v>
      </c>
      <c r="I236" s="39">
        <v>5.0</v>
      </c>
      <c r="J236" s="38">
        <f t="shared" si="82"/>
        <v>59004.9</v>
      </c>
      <c r="K236" s="38">
        <f t="shared" si="2"/>
        <v>2950.245</v>
      </c>
      <c r="L236" s="39">
        <v>88.0</v>
      </c>
      <c r="M236" s="38">
        <f t="shared" si="13"/>
        <v>51924.312</v>
      </c>
      <c r="N236" s="38"/>
      <c r="O236" s="43"/>
      <c r="P236" s="43"/>
      <c r="Q236" s="40">
        <f t="shared" si="69"/>
        <v>7080.588</v>
      </c>
      <c r="R236" s="49">
        <v>46055.0</v>
      </c>
      <c r="S236" s="49">
        <v>46097.0</v>
      </c>
      <c r="T236" s="43"/>
      <c r="U236" s="45" t="s">
        <v>760</v>
      </c>
      <c r="V236" s="43"/>
      <c r="W236" s="43"/>
      <c r="X236" s="43"/>
      <c r="Y236" s="43"/>
      <c r="Z236" s="43"/>
      <c r="AA236" s="43"/>
      <c r="AB236" s="43"/>
      <c r="AC236" s="43"/>
      <c r="AD236" s="43"/>
      <c r="AE236" s="43"/>
      <c r="AF236" s="43"/>
      <c r="AG236" s="43"/>
      <c r="AH236" s="43"/>
      <c r="AI236" s="43"/>
      <c r="AJ236" s="43"/>
      <c r="AK236" s="43"/>
      <c r="AL236" s="43"/>
    </row>
    <row r="237">
      <c r="A237" s="92" t="b">
        <v>0</v>
      </c>
      <c r="B237" s="46">
        <v>46037.0</v>
      </c>
      <c r="C237" s="39" t="s">
        <v>150</v>
      </c>
      <c r="D237" s="37" t="s">
        <v>703</v>
      </c>
      <c r="E237" s="45" t="s">
        <v>762</v>
      </c>
      <c r="F237" s="45"/>
      <c r="G237" s="38">
        <v>5300600.0</v>
      </c>
      <c r="H237" s="39" t="s">
        <v>659</v>
      </c>
      <c r="I237" s="39">
        <v>4.0</v>
      </c>
      <c r="J237" s="38">
        <f t="shared" si="82"/>
        <v>212024</v>
      </c>
      <c r="K237" s="38">
        <f t="shared" si="2"/>
        <v>10601.2</v>
      </c>
      <c r="L237" s="39">
        <v>90.0</v>
      </c>
      <c r="M237" s="38">
        <f t="shared" si="13"/>
        <v>190821.6</v>
      </c>
      <c r="N237" s="38"/>
      <c r="O237" s="43"/>
      <c r="P237" s="43"/>
      <c r="Q237" s="40">
        <f t="shared" si="69"/>
        <v>21202.4</v>
      </c>
      <c r="R237" s="49">
        <v>46060.0</v>
      </c>
      <c r="S237" s="49">
        <v>46079.0</v>
      </c>
      <c r="T237" s="43"/>
      <c r="U237" s="43"/>
      <c r="V237" s="43"/>
      <c r="W237" s="43"/>
      <c r="X237" s="43"/>
      <c r="Y237" s="43"/>
      <c r="Z237" s="52"/>
      <c r="AA237" s="52"/>
      <c r="AB237" s="52"/>
      <c r="AC237" s="52"/>
      <c r="AD237" s="52"/>
      <c r="AE237" s="52"/>
      <c r="AF237" s="52"/>
      <c r="AG237" s="52"/>
      <c r="AH237" s="52"/>
      <c r="AI237" s="52"/>
      <c r="AJ237" s="52"/>
      <c r="AK237" s="52"/>
      <c r="AL237" s="52"/>
    </row>
    <row r="238">
      <c r="A238" s="115" t="b">
        <v>1</v>
      </c>
      <c r="B238" s="96">
        <v>46037.0</v>
      </c>
      <c r="C238" s="50" t="s">
        <v>219</v>
      </c>
      <c r="D238" s="97" t="s">
        <v>763</v>
      </c>
      <c r="E238" s="55" t="s">
        <v>764</v>
      </c>
      <c r="F238" s="55" t="s">
        <v>749</v>
      </c>
      <c r="G238" s="98">
        <v>8192900.0</v>
      </c>
      <c r="H238" s="50" t="s">
        <v>659</v>
      </c>
      <c r="I238" s="50">
        <v>4.0</v>
      </c>
      <c r="J238" s="98">
        <f t="shared" si="82"/>
        <v>327716</v>
      </c>
      <c r="K238" s="98">
        <f t="shared" si="2"/>
        <v>16385.8</v>
      </c>
      <c r="L238" s="50">
        <v>80.0</v>
      </c>
      <c r="M238" s="98">
        <f t="shared" si="13"/>
        <v>262172.8</v>
      </c>
      <c r="N238" s="98">
        <f>J238*0.08</f>
        <v>26217.28</v>
      </c>
      <c r="O238" s="52"/>
      <c r="P238" s="52"/>
      <c r="Q238" s="99">
        <f t="shared" si="69"/>
        <v>39325.92</v>
      </c>
      <c r="R238" s="111">
        <v>46074.0</v>
      </c>
      <c r="S238" s="52"/>
      <c r="T238" s="55" t="s">
        <v>765</v>
      </c>
      <c r="U238" s="52"/>
      <c r="V238" s="52"/>
      <c r="W238" s="52"/>
      <c r="X238" s="52"/>
      <c r="Y238" s="52"/>
      <c r="Z238" s="43"/>
      <c r="AA238" s="43"/>
      <c r="AB238" s="43"/>
      <c r="AC238" s="43"/>
      <c r="AD238" s="43"/>
      <c r="AE238" s="43"/>
      <c r="AF238" s="43"/>
      <c r="AG238" s="43"/>
      <c r="AH238" s="43"/>
      <c r="AI238" s="43"/>
      <c r="AJ238" s="43"/>
      <c r="AK238" s="43"/>
      <c r="AL238" s="43"/>
    </row>
    <row r="239">
      <c r="A239" s="92" t="b">
        <v>1</v>
      </c>
      <c r="B239" s="96">
        <v>46039.0</v>
      </c>
      <c r="C239" s="50" t="s">
        <v>150</v>
      </c>
      <c r="D239" s="97" t="s">
        <v>766</v>
      </c>
      <c r="E239" s="55" t="s">
        <v>685</v>
      </c>
      <c r="F239" s="55" t="s">
        <v>295</v>
      </c>
      <c r="G239" s="98">
        <v>2713000.0</v>
      </c>
      <c r="H239" s="50" t="s">
        <v>688</v>
      </c>
      <c r="I239" s="50">
        <v>6.0</v>
      </c>
      <c r="J239" s="98">
        <f t="shared" si="82"/>
        <v>162780</v>
      </c>
      <c r="K239" s="98">
        <f t="shared" si="2"/>
        <v>8139</v>
      </c>
      <c r="L239" s="50">
        <v>88.0</v>
      </c>
      <c r="M239" s="98">
        <f t="shared" si="13"/>
        <v>143246.4</v>
      </c>
      <c r="N239" s="98">
        <f>J239*0.01</f>
        <v>1627.8</v>
      </c>
      <c r="O239" s="52"/>
      <c r="P239" s="52"/>
      <c r="Q239" s="99">
        <f t="shared" si="69"/>
        <v>17905.8</v>
      </c>
      <c r="R239" s="111">
        <v>46041.0</v>
      </c>
      <c r="S239" s="52"/>
      <c r="T239" s="52"/>
      <c r="U239" s="52"/>
      <c r="V239" s="52"/>
      <c r="W239" s="52"/>
      <c r="X239" s="52"/>
      <c r="Y239" s="52"/>
      <c r="Z239" s="52"/>
      <c r="AA239" s="52"/>
      <c r="AB239" s="52"/>
      <c r="AC239" s="52"/>
      <c r="AD239" s="52"/>
      <c r="AE239" s="52"/>
      <c r="AF239" s="52"/>
      <c r="AG239" s="52"/>
      <c r="AH239" s="52"/>
      <c r="AI239" s="52"/>
      <c r="AJ239" s="52"/>
      <c r="AK239" s="52"/>
      <c r="AL239" s="52"/>
    </row>
    <row r="240">
      <c r="A240" s="92" t="b">
        <v>1</v>
      </c>
      <c r="B240" s="96">
        <v>46042.0</v>
      </c>
      <c r="C240" s="50" t="s">
        <v>219</v>
      </c>
      <c r="D240" s="97" t="s">
        <v>767</v>
      </c>
      <c r="E240" s="55" t="s">
        <v>570</v>
      </c>
      <c r="F240" s="55" t="s">
        <v>749</v>
      </c>
      <c r="G240" s="98">
        <v>1478877.0</v>
      </c>
      <c r="H240" s="50" t="s">
        <v>515</v>
      </c>
      <c r="I240" s="50">
        <v>5.0</v>
      </c>
      <c r="J240" s="98">
        <f t="shared" si="82"/>
        <v>73943.85</v>
      </c>
      <c r="K240" s="98">
        <f t="shared" si="2"/>
        <v>3697.1925</v>
      </c>
      <c r="L240" s="50">
        <v>80.0</v>
      </c>
      <c r="M240" s="98">
        <f t="shared" si="13"/>
        <v>59155.08</v>
      </c>
      <c r="N240" s="98">
        <f>J240*0.08</f>
        <v>5915.508</v>
      </c>
      <c r="O240" s="52"/>
      <c r="P240" s="52"/>
      <c r="Q240" s="99">
        <f t="shared" si="69"/>
        <v>8873.262</v>
      </c>
      <c r="R240" s="111">
        <v>46073.0</v>
      </c>
      <c r="S240" s="52"/>
      <c r="T240" s="55" t="s">
        <v>768</v>
      </c>
      <c r="U240" s="52"/>
      <c r="V240" s="52"/>
      <c r="W240" s="52"/>
      <c r="X240" s="52"/>
      <c r="Y240" s="52"/>
      <c r="Z240" s="52"/>
      <c r="AA240" s="52"/>
      <c r="AB240" s="52"/>
      <c r="AC240" s="52"/>
      <c r="AD240" s="52"/>
      <c r="AE240" s="52"/>
      <c r="AF240" s="52"/>
      <c r="AG240" s="52"/>
      <c r="AH240" s="52"/>
      <c r="AI240" s="52"/>
      <c r="AJ240" s="52"/>
      <c r="AK240" s="52"/>
      <c r="AL240" s="52"/>
    </row>
    <row r="241">
      <c r="A241" s="92" t="b">
        <v>1</v>
      </c>
      <c r="B241" s="46">
        <v>46043.0</v>
      </c>
      <c r="C241" s="39" t="s">
        <v>219</v>
      </c>
      <c r="D241" s="37" t="s">
        <v>769</v>
      </c>
      <c r="E241" s="45" t="s">
        <v>649</v>
      </c>
      <c r="F241" s="45" t="s">
        <v>770</v>
      </c>
      <c r="G241" s="38">
        <v>769619.89</v>
      </c>
      <c r="H241" s="39" t="s">
        <v>515</v>
      </c>
      <c r="I241" s="39">
        <v>5.0</v>
      </c>
      <c r="J241" s="38">
        <f t="shared" si="82"/>
        <v>38480.9945</v>
      </c>
      <c r="K241" s="38">
        <f t="shared" si="2"/>
        <v>1924.049725</v>
      </c>
      <c r="L241" s="39">
        <v>33.0</v>
      </c>
      <c r="M241" s="38">
        <f t="shared" si="13"/>
        <v>12698.72819</v>
      </c>
      <c r="N241" s="38">
        <f>J241*0.55</f>
        <v>21164.54698</v>
      </c>
      <c r="O241" s="43"/>
      <c r="P241" s="43"/>
      <c r="Q241" s="40">
        <f t="shared" si="69"/>
        <v>4617.71934</v>
      </c>
      <c r="R241" s="49">
        <v>46086.0</v>
      </c>
      <c r="S241" s="49">
        <v>46107.0</v>
      </c>
      <c r="T241" s="43"/>
      <c r="U241" s="45" t="s">
        <v>771</v>
      </c>
      <c r="V241" s="43"/>
      <c r="W241" s="43"/>
      <c r="X241" s="43"/>
      <c r="Y241" s="43"/>
      <c r="Z241" s="43"/>
      <c r="AA241" s="43"/>
      <c r="AB241" s="43"/>
      <c r="AC241" s="43"/>
      <c r="AD241" s="43"/>
      <c r="AE241" s="43"/>
      <c r="AF241" s="43"/>
      <c r="AG241" s="43"/>
      <c r="AH241" s="43"/>
      <c r="AI241" s="43"/>
      <c r="AJ241" s="43"/>
      <c r="AK241" s="43"/>
      <c r="AL241" s="43"/>
    </row>
    <row r="242">
      <c r="A242" s="92" t="b">
        <v>0</v>
      </c>
      <c r="B242" s="46">
        <v>46044.0</v>
      </c>
      <c r="C242" s="39" t="s">
        <v>150</v>
      </c>
      <c r="D242" s="37" t="s">
        <v>772</v>
      </c>
      <c r="E242" s="45" t="s">
        <v>575</v>
      </c>
      <c r="F242" s="45"/>
      <c r="G242" s="38">
        <v>1536555.83</v>
      </c>
      <c r="H242" s="39" t="s">
        <v>773</v>
      </c>
      <c r="I242" s="39">
        <v>7.0</v>
      </c>
      <c r="J242" s="38">
        <f t="shared" si="82"/>
        <v>107558.9081</v>
      </c>
      <c r="K242" s="38">
        <f t="shared" si="2"/>
        <v>5377.945405</v>
      </c>
      <c r="L242" s="39">
        <v>90.0</v>
      </c>
      <c r="M242" s="38">
        <f t="shared" si="13"/>
        <v>96803.01729</v>
      </c>
      <c r="N242" s="38"/>
      <c r="O242" s="43"/>
      <c r="P242" s="43"/>
      <c r="Q242" s="40">
        <f t="shared" si="69"/>
        <v>10755.89081</v>
      </c>
      <c r="R242" s="49">
        <v>45680.0</v>
      </c>
      <c r="S242" s="49">
        <v>46057.0</v>
      </c>
      <c r="T242" s="43"/>
      <c r="U242" s="43"/>
      <c r="V242" s="43"/>
      <c r="W242" s="43"/>
      <c r="X242" s="43"/>
      <c r="Y242" s="43"/>
      <c r="Z242" s="43"/>
      <c r="AA242" s="43"/>
      <c r="AB242" s="43"/>
      <c r="AC242" s="43"/>
      <c r="AD242" s="43"/>
      <c r="AE242" s="43"/>
      <c r="AF242" s="43"/>
      <c r="AG242" s="43"/>
      <c r="AH242" s="43"/>
      <c r="AI242" s="43"/>
      <c r="AJ242" s="43"/>
      <c r="AK242" s="43"/>
      <c r="AL242" s="43"/>
    </row>
    <row r="243">
      <c r="A243" s="92" t="b">
        <v>1</v>
      </c>
      <c r="B243" s="113">
        <v>46045.0</v>
      </c>
      <c r="C243" s="18" t="s">
        <v>219</v>
      </c>
      <c r="D243" s="17" t="s">
        <v>774</v>
      </c>
      <c r="E243" s="82" t="s">
        <v>775</v>
      </c>
      <c r="F243" s="82" t="s">
        <v>749</v>
      </c>
      <c r="G243" s="109">
        <v>600000.0</v>
      </c>
      <c r="H243" s="18" t="s">
        <v>223</v>
      </c>
      <c r="I243" s="18">
        <v>4.0</v>
      </c>
      <c r="J243" s="109">
        <f t="shared" si="82"/>
        <v>24000</v>
      </c>
      <c r="K243" s="109">
        <f t="shared" si="2"/>
        <v>1200</v>
      </c>
      <c r="L243" s="18">
        <v>50.0</v>
      </c>
      <c r="M243" s="109">
        <f t="shared" si="13"/>
        <v>12000</v>
      </c>
      <c r="N243" s="109">
        <f t="shared" ref="N243:N244" si="84">J243*0.08</f>
        <v>1920</v>
      </c>
      <c r="O243" s="116"/>
      <c r="P243" s="116"/>
      <c r="Q243" s="110">
        <f t="shared" si="69"/>
        <v>10080</v>
      </c>
      <c r="R243" s="81"/>
      <c r="S243" s="116"/>
      <c r="T243" s="116"/>
      <c r="U243" s="116"/>
      <c r="V243" s="116"/>
      <c r="W243" s="116"/>
      <c r="X243" s="116"/>
      <c r="Y243" s="116"/>
      <c r="Z243" s="116"/>
      <c r="AA243" s="116"/>
      <c r="AB243" s="116"/>
      <c r="AC243" s="116"/>
      <c r="AD243" s="116"/>
      <c r="AE243" s="116"/>
      <c r="AF243" s="116"/>
      <c r="AG243" s="116"/>
      <c r="AH243" s="116"/>
      <c r="AI243" s="116"/>
      <c r="AJ243" s="116"/>
      <c r="AK243" s="116"/>
      <c r="AL243" s="116"/>
    </row>
    <row r="244">
      <c r="A244" s="115" t="b">
        <v>1</v>
      </c>
      <c r="B244" s="96">
        <v>46045.0</v>
      </c>
      <c r="C244" s="50" t="s">
        <v>219</v>
      </c>
      <c r="D244" s="97" t="s">
        <v>776</v>
      </c>
      <c r="E244" s="55" t="s">
        <v>777</v>
      </c>
      <c r="F244" s="55" t="s">
        <v>749</v>
      </c>
      <c r="G244" s="98">
        <v>960000.0</v>
      </c>
      <c r="H244" s="50" t="s">
        <v>778</v>
      </c>
      <c r="I244" s="50">
        <v>5.0</v>
      </c>
      <c r="J244" s="98">
        <f t="shared" si="82"/>
        <v>48000</v>
      </c>
      <c r="K244" s="98">
        <f t="shared" si="2"/>
        <v>2400</v>
      </c>
      <c r="L244" s="50">
        <v>80.0</v>
      </c>
      <c r="M244" s="98">
        <f t="shared" si="13"/>
        <v>38400</v>
      </c>
      <c r="N244" s="98">
        <f t="shared" si="84"/>
        <v>3840</v>
      </c>
      <c r="O244" s="52"/>
      <c r="P244" s="52"/>
      <c r="Q244" s="99">
        <f t="shared" si="69"/>
        <v>5760</v>
      </c>
      <c r="R244" s="111">
        <v>46052.0</v>
      </c>
      <c r="S244" s="112"/>
      <c r="T244" s="55" t="s">
        <v>779</v>
      </c>
      <c r="U244" s="52"/>
      <c r="V244" s="52"/>
      <c r="W244" s="52"/>
      <c r="X244" s="52"/>
      <c r="Y244" s="52"/>
      <c r="Z244" s="52"/>
      <c r="AA244" s="52"/>
      <c r="AB244" s="52"/>
      <c r="AC244" s="52"/>
      <c r="AD244" s="52"/>
      <c r="AE244" s="52"/>
      <c r="AF244" s="52"/>
      <c r="AG244" s="52"/>
      <c r="AH244" s="52"/>
      <c r="AI244" s="52"/>
      <c r="AJ244" s="52"/>
      <c r="AK244" s="52"/>
      <c r="AL244" s="52"/>
    </row>
    <row r="245">
      <c r="A245" s="92" t="b">
        <v>0</v>
      </c>
      <c r="B245" s="46">
        <v>46046.0</v>
      </c>
      <c r="C245" s="39" t="s">
        <v>150</v>
      </c>
      <c r="D245" s="37" t="s">
        <v>780</v>
      </c>
      <c r="E245" s="45" t="s">
        <v>781</v>
      </c>
      <c r="F245" s="45"/>
      <c r="G245" s="38">
        <v>1494000.0</v>
      </c>
      <c r="H245" s="39" t="s">
        <v>609</v>
      </c>
      <c r="I245" s="39">
        <v>6.0</v>
      </c>
      <c r="J245" s="38">
        <f t="shared" si="82"/>
        <v>89640</v>
      </c>
      <c r="K245" s="38">
        <f t="shared" si="2"/>
        <v>4482</v>
      </c>
      <c r="L245" s="39">
        <v>88.0</v>
      </c>
      <c r="M245" s="38">
        <f t="shared" si="13"/>
        <v>78883.2</v>
      </c>
      <c r="N245" s="38"/>
      <c r="O245" s="43"/>
      <c r="P245" s="43"/>
      <c r="Q245" s="40">
        <f t="shared" si="69"/>
        <v>10756.8</v>
      </c>
      <c r="R245" s="49">
        <v>46050.0</v>
      </c>
      <c r="S245" s="49">
        <v>46058.0</v>
      </c>
      <c r="T245" s="43"/>
      <c r="U245" s="43"/>
      <c r="V245" s="43"/>
      <c r="W245" s="43"/>
      <c r="X245" s="43"/>
      <c r="Y245" s="43"/>
      <c r="Z245" s="52"/>
      <c r="AA245" s="52"/>
      <c r="AB245" s="52"/>
      <c r="AC245" s="52"/>
      <c r="AD245" s="52"/>
      <c r="AE245" s="52"/>
      <c r="AF245" s="52"/>
      <c r="AG245" s="52"/>
      <c r="AH245" s="52"/>
      <c r="AI245" s="52"/>
      <c r="AJ245" s="52"/>
      <c r="AK245" s="52"/>
      <c r="AL245" s="52"/>
    </row>
    <row r="246">
      <c r="A246" s="92" t="b">
        <v>1</v>
      </c>
      <c r="B246" s="46">
        <v>46046.0</v>
      </c>
      <c r="C246" s="39" t="s">
        <v>150</v>
      </c>
      <c r="D246" s="37" t="s">
        <v>782</v>
      </c>
      <c r="E246" s="45" t="s">
        <v>664</v>
      </c>
      <c r="F246" s="45" t="s">
        <v>783</v>
      </c>
      <c r="G246" s="38">
        <v>2361000.0</v>
      </c>
      <c r="H246" s="39" t="s">
        <v>784</v>
      </c>
      <c r="I246" s="39">
        <v>4.0</v>
      </c>
      <c r="J246" s="38">
        <f t="shared" si="82"/>
        <v>94440</v>
      </c>
      <c r="K246" s="38">
        <f t="shared" si="2"/>
        <v>4722</v>
      </c>
      <c r="L246" s="39">
        <v>88.0</v>
      </c>
      <c r="M246" s="38">
        <f t="shared" si="13"/>
        <v>83107.2</v>
      </c>
      <c r="N246" s="38">
        <f t="shared" ref="N246:N247" si="85">J246*0.01</f>
        <v>944.4</v>
      </c>
      <c r="O246" s="43"/>
      <c r="P246" s="43"/>
      <c r="Q246" s="40">
        <f t="shared" si="69"/>
        <v>10388.4</v>
      </c>
      <c r="R246" s="49">
        <v>46084.0</v>
      </c>
      <c r="S246" s="49">
        <v>46099.0</v>
      </c>
      <c r="T246" s="43"/>
      <c r="U246" s="45" t="s">
        <v>785</v>
      </c>
      <c r="V246" s="43"/>
      <c r="W246" s="43"/>
      <c r="X246" s="43"/>
      <c r="Y246" s="43"/>
      <c r="Z246" s="43"/>
      <c r="AA246" s="43"/>
      <c r="AB246" s="43"/>
      <c r="AC246" s="43"/>
      <c r="AD246" s="43"/>
      <c r="AE246" s="43"/>
      <c r="AF246" s="43"/>
      <c r="AG246" s="43"/>
      <c r="AH246" s="43"/>
      <c r="AI246" s="43"/>
      <c r="AJ246" s="43"/>
      <c r="AK246" s="43"/>
      <c r="AL246" s="43"/>
    </row>
    <row r="247">
      <c r="A247" s="92" t="b">
        <v>0</v>
      </c>
      <c r="B247" s="46">
        <v>46048.0</v>
      </c>
      <c r="C247" s="39" t="s">
        <v>150</v>
      </c>
      <c r="D247" s="37" t="s">
        <v>786</v>
      </c>
      <c r="E247" s="45" t="s">
        <v>787</v>
      </c>
      <c r="F247" s="45" t="s">
        <v>788</v>
      </c>
      <c r="G247" s="38">
        <v>533900.0</v>
      </c>
      <c r="H247" s="39" t="s">
        <v>284</v>
      </c>
      <c r="I247" s="39">
        <v>7.0</v>
      </c>
      <c r="J247" s="38">
        <f t="shared" si="82"/>
        <v>37373</v>
      </c>
      <c r="K247" s="38">
        <f t="shared" si="2"/>
        <v>1868.65</v>
      </c>
      <c r="L247" s="39">
        <v>88.0</v>
      </c>
      <c r="M247" s="38">
        <f t="shared" si="13"/>
        <v>32888.24</v>
      </c>
      <c r="N247" s="38">
        <f t="shared" si="85"/>
        <v>373.73</v>
      </c>
      <c r="O247" s="43"/>
      <c r="P247" s="43"/>
      <c r="Q247" s="40">
        <f t="shared" si="69"/>
        <v>4111.03</v>
      </c>
      <c r="R247" s="47"/>
      <c r="S247" s="49">
        <v>46049.0</v>
      </c>
      <c r="T247" s="43"/>
      <c r="U247" s="43"/>
      <c r="V247" s="43"/>
      <c r="W247" s="43"/>
      <c r="X247" s="43"/>
      <c r="Y247" s="43"/>
      <c r="Z247" s="43"/>
      <c r="AA247" s="43"/>
      <c r="AB247" s="43"/>
      <c r="AC247" s="43"/>
      <c r="AD247" s="43"/>
      <c r="AE247" s="43"/>
      <c r="AF247" s="43"/>
      <c r="AG247" s="43"/>
      <c r="AH247" s="43"/>
      <c r="AI247" s="43"/>
      <c r="AJ247" s="43"/>
      <c r="AK247" s="43"/>
      <c r="AL247" s="43"/>
    </row>
    <row r="248">
      <c r="A248" s="92" t="b">
        <v>1</v>
      </c>
      <c r="B248" s="96">
        <v>46049.0</v>
      </c>
      <c r="C248" s="50" t="s">
        <v>219</v>
      </c>
      <c r="D248" s="97" t="s">
        <v>789</v>
      </c>
      <c r="E248" s="55" t="s">
        <v>652</v>
      </c>
      <c r="F248" s="55" t="s">
        <v>749</v>
      </c>
      <c r="G248" s="98">
        <v>2080828.0</v>
      </c>
      <c r="H248" s="50" t="s">
        <v>191</v>
      </c>
      <c r="I248" s="50">
        <v>5.0</v>
      </c>
      <c r="J248" s="98">
        <f t="shared" si="82"/>
        <v>104041.4</v>
      </c>
      <c r="K248" s="98">
        <f t="shared" si="2"/>
        <v>5202.07</v>
      </c>
      <c r="L248" s="50">
        <v>50.0</v>
      </c>
      <c r="M248" s="98">
        <f t="shared" si="13"/>
        <v>52020.7</v>
      </c>
      <c r="N248" s="98">
        <f>J248*0.08</f>
        <v>8323.312</v>
      </c>
      <c r="O248" s="52"/>
      <c r="P248" s="52"/>
      <c r="Q248" s="99">
        <f t="shared" si="69"/>
        <v>43697.388</v>
      </c>
      <c r="R248" s="111">
        <v>46086.0</v>
      </c>
      <c r="S248" s="52"/>
      <c r="T248" s="55" t="s">
        <v>790</v>
      </c>
      <c r="U248" s="52"/>
      <c r="V248" s="52"/>
      <c r="W248" s="52"/>
      <c r="X248" s="52"/>
      <c r="Y248" s="52"/>
      <c r="Z248" s="52"/>
      <c r="AA248" s="52"/>
      <c r="AB248" s="52"/>
      <c r="AC248" s="52"/>
      <c r="AD248" s="52"/>
      <c r="AE248" s="52"/>
      <c r="AF248" s="52"/>
      <c r="AG248" s="52"/>
      <c r="AH248" s="52"/>
      <c r="AI248" s="52"/>
      <c r="AJ248" s="52"/>
      <c r="AK248" s="52"/>
      <c r="AL248" s="52"/>
    </row>
    <row r="249">
      <c r="A249" s="92" t="b">
        <v>0</v>
      </c>
      <c r="B249" s="46">
        <v>46051.0</v>
      </c>
      <c r="C249" s="39" t="s">
        <v>150</v>
      </c>
      <c r="D249" s="37" t="s">
        <v>791</v>
      </c>
      <c r="E249" s="45" t="s">
        <v>575</v>
      </c>
      <c r="F249" s="45"/>
      <c r="G249" s="38">
        <v>1610357.0</v>
      </c>
      <c r="H249" s="39" t="s">
        <v>773</v>
      </c>
      <c r="I249" s="39">
        <v>7.0</v>
      </c>
      <c r="J249" s="38">
        <f t="shared" si="82"/>
        <v>112724.99</v>
      </c>
      <c r="K249" s="38">
        <f t="shared" si="2"/>
        <v>5636.2495</v>
      </c>
      <c r="L249" s="39">
        <v>90.0</v>
      </c>
      <c r="M249" s="38">
        <f t="shared" si="13"/>
        <v>101452.491</v>
      </c>
      <c r="N249" s="38">
        <v>0.0</v>
      </c>
      <c r="O249" s="43"/>
      <c r="P249" s="43"/>
      <c r="Q249" s="40">
        <f t="shared" si="69"/>
        <v>11272.499</v>
      </c>
      <c r="R249" s="49">
        <v>46055.0</v>
      </c>
      <c r="S249" s="49">
        <v>46057.0</v>
      </c>
      <c r="T249" s="43"/>
      <c r="U249" s="43"/>
      <c r="V249" s="43"/>
      <c r="W249" s="43"/>
      <c r="X249" s="43"/>
      <c r="Y249" s="43"/>
      <c r="Z249" s="43"/>
      <c r="AA249" s="43"/>
      <c r="AB249" s="43"/>
      <c r="AC249" s="43"/>
      <c r="AD249" s="43"/>
      <c r="AE249" s="43"/>
      <c r="AF249" s="43"/>
      <c r="AG249" s="43"/>
      <c r="AH249" s="43"/>
      <c r="AI249" s="43"/>
      <c r="AJ249" s="43"/>
      <c r="AK249" s="43"/>
      <c r="AL249" s="43"/>
    </row>
    <row r="250">
      <c r="A250" s="92" t="b">
        <v>1</v>
      </c>
      <c r="B250" s="113">
        <v>46052.0</v>
      </c>
      <c r="C250" s="18" t="s">
        <v>219</v>
      </c>
      <c r="D250" s="17" t="s">
        <v>792</v>
      </c>
      <c r="E250" s="82" t="s">
        <v>775</v>
      </c>
      <c r="F250" s="82" t="s">
        <v>793</v>
      </c>
      <c r="G250" s="109">
        <v>1970379.0</v>
      </c>
      <c r="H250" s="18" t="s">
        <v>174</v>
      </c>
      <c r="I250" s="18">
        <v>3.0</v>
      </c>
      <c r="J250" s="109">
        <f t="shared" si="82"/>
        <v>59111.37</v>
      </c>
      <c r="K250" s="109">
        <f t="shared" si="2"/>
        <v>2955.5685</v>
      </c>
      <c r="L250" s="18">
        <v>80.0</v>
      </c>
      <c r="M250" s="109">
        <f t="shared" si="13"/>
        <v>47289.096</v>
      </c>
      <c r="N250" s="109">
        <f>J250*0.08</f>
        <v>4728.9096</v>
      </c>
      <c r="O250" s="116"/>
      <c r="P250" s="116"/>
      <c r="Q250" s="110">
        <f t="shared" si="69"/>
        <v>7093.3644</v>
      </c>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row>
    <row r="251">
      <c r="A251" s="92" t="b">
        <v>1</v>
      </c>
      <c r="B251" s="113">
        <v>46055.0</v>
      </c>
      <c r="C251" s="18" t="s">
        <v>150</v>
      </c>
      <c r="D251" s="17" t="s">
        <v>794</v>
      </c>
      <c r="E251" s="82" t="s">
        <v>795</v>
      </c>
      <c r="F251" s="82" t="s">
        <v>796</v>
      </c>
      <c r="G251" s="109">
        <v>921000.0</v>
      </c>
      <c r="H251" s="18" t="s">
        <v>797</v>
      </c>
      <c r="I251" s="18">
        <v>4.0</v>
      </c>
      <c r="J251" s="109">
        <f t="shared" si="82"/>
        <v>36840</v>
      </c>
      <c r="K251" s="109">
        <f t="shared" si="2"/>
        <v>1842</v>
      </c>
      <c r="L251" s="18">
        <v>70.0</v>
      </c>
      <c r="M251" s="109">
        <f t="shared" si="13"/>
        <v>25788</v>
      </c>
      <c r="N251" s="109">
        <f>J251*0.18</f>
        <v>6631.2</v>
      </c>
      <c r="O251" s="116"/>
      <c r="P251" s="116"/>
      <c r="Q251" s="110">
        <f t="shared" si="69"/>
        <v>4420.8</v>
      </c>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row>
    <row r="252">
      <c r="A252" s="92" t="b">
        <v>1</v>
      </c>
      <c r="B252" s="46">
        <v>46057.0</v>
      </c>
      <c r="C252" s="39" t="s">
        <v>150</v>
      </c>
      <c r="D252" s="37" t="s">
        <v>798</v>
      </c>
      <c r="E252" s="45" t="s">
        <v>799</v>
      </c>
      <c r="F252" s="45"/>
      <c r="G252" s="38">
        <v>3596400.0</v>
      </c>
      <c r="H252" s="39" t="s">
        <v>800</v>
      </c>
      <c r="I252" s="39">
        <v>5.0</v>
      </c>
      <c r="J252" s="38">
        <f t="shared" si="82"/>
        <v>179820</v>
      </c>
      <c r="K252" s="38">
        <f t="shared" si="2"/>
        <v>8991</v>
      </c>
      <c r="L252" s="39">
        <v>90.0</v>
      </c>
      <c r="M252" s="38">
        <f t="shared" si="13"/>
        <v>161838</v>
      </c>
      <c r="N252" s="38"/>
      <c r="O252" s="43"/>
      <c r="P252" s="43"/>
      <c r="Q252" s="40">
        <f t="shared" si="69"/>
        <v>17982</v>
      </c>
      <c r="R252" s="49">
        <v>46070.0</v>
      </c>
      <c r="S252" s="49">
        <v>46112.0</v>
      </c>
      <c r="T252" s="45" t="s">
        <v>801</v>
      </c>
      <c r="U252" s="39" t="s">
        <v>802</v>
      </c>
      <c r="V252" s="43"/>
      <c r="W252" s="43"/>
      <c r="X252" s="43"/>
      <c r="Y252" s="43"/>
      <c r="Z252" s="43"/>
      <c r="AA252" s="43"/>
      <c r="AB252" s="43"/>
      <c r="AC252" s="43"/>
      <c r="AD252" s="43"/>
      <c r="AE252" s="43"/>
      <c r="AF252" s="43"/>
      <c r="AG252" s="43"/>
      <c r="AH252" s="43"/>
      <c r="AI252" s="43"/>
      <c r="AJ252" s="43"/>
      <c r="AK252" s="43"/>
      <c r="AL252" s="43"/>
    </row>
    <row r="253">
      <c r="A253" s="92" t="b">
        <v>1</v>
      </c>
      <c r="B253" s="96">
        <v>46057.0</v>
      </c>
      <c r="C253" s="50" t="s">
        <v>150</v>
      </c>
      <c r="D253" s="97" t="s">
        <v>798</v>
      </c>
      <c r="E253" s="55" t="s">
        <v>799</v>
      </c>
      <c r="F253" s="55"/>
      <c r="G253" s="98">
        <v>3604500.0</v>
      </c>
      <c r="H253" s="50" t="s">
        <v>800</v>
      </c>
      <c r="I253" s="50">
        <v>5.0</v>
      </c>
      <c r="J253" s="98">
        <f t="shared" si="82"/>
        <v>180225</v>
      </c>
      <c r="K253" s="98">
        <f t="shared" si="2"/>
        <v>9011.25</v>
      </c>
      <c r="L253" s="50">
        <v>90.0</v>
      </c>
      <c r="M253" s="98">
        <f t="shared" si="13"/>
        <v>162202.5</v>
      </c>
      <c r="N253" s="98"/>
      <c r="O253" s="52"/>
      <c r="P253" s="52"/>
      <c r="Q253" s="99">
        <f t="shared" si="69"/>
        <v>18022.5</v>
      </c>
      <c r="R253" s="111">
        <v>46070.0</v>
      </c>
      <c r="S253" s="52"/>
      <c r="T253" s="52"/>
      <c r="U253" s="52"/>
      <c r="V253" s="52"/>
      <c r="W253" s="52"/>
      <c r="X253" s="52"/>
      <c r="Y253" s="52"/>
      <c r="Z253" s="52"/>
      <c r="AA253" s="52"/>
      <c r="AB253" s="52"/>
      <c r="AC253" s="52"/>
      <c r="AD253" s="52"/>
      <c r="AE253" s="52"/>
      <c r="AF253" s="52"/>
      <c r="AG253" s="52"/>
      <c r="AH253" s="52"/>
      <c r="AI253" s="52"/>
      <c r="AJ253" s="52"/>
      <c r="AK253" s="52"/>
      <c r="AL253" s="52"/>
    </row>
    <row r="254">
      <c r="A254" s="92" t="b">
        <v>1</v>
      </c>
      <c r="B254" s="46">
        <v>46057.0</v>
      </c>
      <c r="C254" s="39" t="s">
        <v>219</v>
      </c>
      <c r="D254" s="37" t="s">
        <v>803</v>
      </c>
      <c r="E254" s="45" t="s">
        <v>570</v>
      </c>
      <c r="F254" s="45" t="s">
        <v>793</v>
      </c>
      <c r="G254" s="38">
        <v>3448000.0</v>
      </c>
      <c r="H254" s="39" t="s">
        <v>734</v>
      </c>
      <c r="I254" s="39">
        <v>5.0</v>
      </c>
      <c r="J254" s="38">
        <f t="shared" si="82"/>
        <v>172400</v>
      </c>
      <c r="K254" s="38">
        <f t="shared" si="2"/>
        <v>8620</v>
      </c>
      <c r="L254" s="39">
        <v>50.0</v>
      </c>
      <c r="M254" s="38">
        <f t="shared" si="13"/>
        <v>86200</v>
      </c>
      <c r="N254" s="38">
        <f t="shared" ref="N254:N255" si="86">J254*0.08</f>
        <v>13792</v>
      </c>
      <c r="O254" s="43"/>
      <c r="P254" s="43"/>
      <c r="Q254" s="40">
        <f t="shared" si="69"/>
        <v>72408</v>
      </c>
      <c r="R254" s="49">
        <v>46091.0</v>
      </c>
      <c r="S254" s="49">
        <v>46097.0</v>
      </c>
      <c r="T254" s="43"/>
      <c r="U254" s="39" t="s">
        <v>804</v>
      </c>
      <c r="V254" s="43"/>
      <c r="W254" s="43"/>
      <c r="X254" s="43"/>
      <c r="Y254" s="43"/>
      <c r="Z254" s="43"/>
      <c r="AA254" s="43"/>
      <c r="AB254" s="43"/>
      <c r="AC254" s="43"/>
      <c r="AD254" s="43"/>
      <c r="AE254" s="43"/>
      <c r="AF254" s="43"/>
      <c r="AG254" s="43"/>
      <c r="AH254" s="43"/>
      <c r="AI254" s="43"/>
      <c r="AJ254" s="43"/>
      <c r="AK254" s="43"/>
      <c r="AL254" s="43"/>
    </row>
    <row r="255">
      <c r="A255" s="92" t="b">
        <v>1</v>
      </c>
      <c r="B255" s="46">
        <v>46060.0</v>
      </c>
      <c r="C255" s="39" t="s">
        <v>219</v>
      </c>
      <c r="D255" s="37" t="s">
        <v>805</v>
      </c>
      <c r="E255" s="45" t="s">
        <v>649</v>
      </c>
      <c r="F255" s="45" t="s">
        <v>793</v>
      </c>
      <c r="G255" s="38">
        <v>1901063.63</v>
      </c>
      <c r="H255" s="39" t="s">
        <v>806</v>
      </c>
      <c r="I255" s="39">
        <v>5.0</v>
      </c>
      <c r="J255" s="38">
        <f t="shared" si="82"/>
        <v>95053.1815</v>
      </c>
      <c r="K255" s="38">
        <f t="shared" si="2"/>
        <v>4752.659075</v>
      </c>
      <c r="L255" s="39">
        <v>50.0</v>
      </c>
      <c r="M255" s="38">
        <f t="shared" si="13"/>
        <v>47526.59075</v>
      </c>
      <c r="N255" s="38">
        <f t="shared" si="86"/>
        <v>7604.25452</v>
      </c>
      <c r="O255" s="43"/>
      <c r="P255" s="43"/>
      <c r="Q255" s="40">
        <f t="shared" si="69"/>
        <v>39922.33623</v>
      </c>
      <c r="R255" s="49">
        <v>46111.0</v>
      </c>
      <c r="S255" s="49">
        <v>46121.0</v>
      </c>
      <c r="T255" s="43"/>
      <c r="U255" s="45" t="s">
        <v>807</v>
      </c>
      <c r="V255" s="43"/>
      <c r="W255" s="43"/>
      <c r="X255" s="43"/>
      <c r="Y255" s="43"/>
      <c r="Z255" s="43"/>
      <c r="AA255" s="43"/>
      <c r="AB255" s="43"/>
      <c r="AC255" s="43"/>
      <c r="AD255" s="43"/>
      <c r="AE255" s="43"/>
      <c r="AF255" s="43"/>
      <c r="AG255" s="43"/>
      <c r="AH255" s="43"/>
      <c r="AI255" s="43"/>
      <c r="AJ255" s="43"/>
      <c r="AK255" s="43"/>
      <c r="AL255" s="43"/>
    </row>
    <row r="256">
      <c r="A256" s="92" t="b">
        <v>1</v>
      </c>
      <c r="B256" s="113">
        <v>46065.0</v>
      </c>
      <c r="C256" s="18" t="s">
        <v>150</v>
      </c>
      <c r="D256" s="17" t="s">
        <v>808</v>
      </c>
      <c r="E256" s="82" t="s">
        <v>809</v>
      </c>
      <c r="F256" s="82"/>
      <c r="G256" s="109">
        <v>594320.0</v>
      </c>
      <c r="H256" s="18" t="s">
        <v>810</v>
      </c>
      <c r="I256" s="18">
        <v>5.0</v>
      </c>
      <c r="J256" s="109">
        <f t="shared" si="82"/>
        <v>29716</v>
      </c>
      <c r="K256" s="109">
        <f t="shared" si="2"/>
        <v>1485.8</v>
      </c>
      <c r="L256" s="18">
        <v>88.0</v>
      </c>
      <c r="M256" s="109">
        <f t="shared" si="13"/>
        <v>26150.08</v>
      </c>
      <c r="N256" s="109"/>
      <c r="O256" s="116"/>
      <c r="P256" s="116"/>
      <c r="Q256" s="110">
        <f t="shared" si="69"/>
        <v>3565.92</v>
      </c>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row>
    <row r="257">
      <c r="A257" s="115" t="b">
        <v>1</v>
      </c>
      <c r="B257" s="96">
        <v>46067.0</v>
      </c>
      <c r="C257" s="50" t="s">
        <v>150</v>
      </c>
      <c r="D257" s="97" t="s">
        <v>811</v>
      </c>
      <c r="E257" s="55" t="s">
        <v>200</v>
      </c>
      <c r="F257" s="55" t="s">
        <v>812</v>
      </c>
      <c r="G257" s="98">
        <v>539460.0</v>
      </c>
      <c r="H257" s="50" t="s">
        <v>813</v>
      </c>
      <c r="I257" s="50">
        <v>7.0</v>
      </c>
      <c r="J257" s="98">
        <f t="shared" si="82"/>
        <v>37762.2</v>
      </c>
      <c r="K257" s="98">
        <f t="shared" si="2"/>
        <v>1888.11</v>
      </c>
      <c r="L257" s="50">
        <v>80.0</v>
      </c>
      <c r="M257" s="98">
        <f t="shared" si="13"/>
        <v>30209.76</v>
      </c>
      <c r="N257" s="98">
        <f>J257*0.08</f>
        <v>3020.976</v>
      </c>
      <c r="O257" s="52"/>
      <c r="P257" s="52"/>
      <c r="Q257" s="99">
        <f t="shared" si="69"/>
        <v>4531.464</v>
      </c>
      <c r="R257" s="111">
        <v>46092.0</v>
      </c>
      <c r="S257" s="52"/>
      <c r="T257" s="52"/>
      <c r="U257" s="52"/>
      <c r="V257" s="52"/>
      <c r="W257" s="52"/>
      <c r="X257" s="52"/>
      <c r="Y257" s="52"/>
      <c r="Z257" s="52"/>
      <c r="AA257" s="52"/>
      <c r="AB257" s="52"/>
      <c r="AC257" s="52"/>
      <c r="AD257" s="52"/>
      <c r="AE257" s="52"/>
      <c r="AF257" s="52"/>
      <c r="AG257" s="52"/>
      <c r="AH257" s="52"/>
      <c r="AI257" s="52"/>
      <c r="AJ257" s="52"/>
      <c r="AK257" s="52"/>
      <c r="AL257" s="52"/>
    </row>
    <row r="258">
      <c r="A258" s="92" t="b">
        <v>1</v>
      </c>
      <c r="B258" s="46">
        <v>46067.0</v>
      </c>
      <c r="C258" s="39" t="s">
        <v>150</v>
      </c>
      <c r="D258" s="37" t="s">
        <v>814</v>
      </c>
      <c r="E258" s="45" t="s">
        <v>152</v>
      </c>
      <c r="F258" s="45"/>
      <c r="G258" s="38">
        <v>538200.0</v>
      </c>
      <c r="H258" s="39" t="s">
        <v>671</v>
      </c>
      <c r="I258" s="39">
        <v>5.0</v>
      </c>
      <c r="J258" s="38">
        <f t="shared" si="82"/>
        <v>26910</v>
      </c>
      <c r="K258" s="38">
        <f t="shared" si="2"/>
        <v>1345.5</v>
      </c>
      <c r="L258" s="39">
        <v>88.0</v>
      </c>
      <c r="M258" s="38">
        <f t="shared" si="13"/>
        <v>23680.8</v>
      </c>
      <c r="N258" s="38"/>
      <c r="O258" s="43"/>
      <c r="P258" s="43"/>
      <c r="Q258" s="40">
        <f t="shared" si="69"/>
        <v>3229.2</v>
      </c>
      <c r="R258" s="49">
        <v>46069.0</v>
      </c>
      <c r="S258" s="49">
        <v>46118.0</v>
      </c>
      <c r="T258" s="45" t="s">
        <v>815</v>
      </c>
      <c r="U258" s="39" t="s">
        <v>816</v>
      </c>
      <c r="V258" s="43"/>
      <c r="W258" s="43"/>
      <c r="X258" s="43"/>
      <c r="Y258" s="43"/>
      <c r="Z258" s="43"/>
      <c r="AA258" s="43"/>
      <c r="AB258" s="43"/>
      <c r="AC258" s="43"/>
      <c r="AD258" s="43"/>
      <c r="AE258" s="43"/>
      <c r="AF258" s="43"/>
      <c r="AG258" s="43"/>
      <c r="AH258" s="43"/>
      <c r="AI258" s="43"/>
      <c r="AJ258" s="43"/>
      <c r="AK258" s="43"/>
      <c r="AL258" s="43"/>
    </row>
    <row r="259">
      <c r="A259" s="92" t="b">
        <v>1</v>
      </c>
      <c r="B259" s="113">
        <v>46068.0</v>
      </c>
      <c r="C259" s="18" t="s">
        <v>219</v>
      </c>
      <c r="D259" s="17" t="s">
        <v>817</v>
      </c>
      <c r="E259" s="82" t="s">
        <v>691</v>
      </c>
      <c r="F259" s="82" t="s">
        <v>793</v>
      </c>
      <c r="G259" s="109">
        <v>1717400.0</v>
      </c>
      <c r="H259" s="18" t="s">
        <v>179</v>
      </c>
      <c r="I259" s="18">
        <v>5.0</v>
      </c>
      <c r="J259" s="109">
        <f t="shared" si="82"/>
        <v>85870</v>
      </c>
      <c r="K259" s="109">
        <f t="shared" si="2"/>
        <v>4293.5</v>
      </c>
      <c r="L259" s="18">
        <v>80.0</v>
      </c>
      <c r="M259" s="109">
        <f t="shared" si="13"/>
        <v>68696</v>
      </c>
      <c r="N259" s="109">
        <f>J259*0.08</f>
        <v>6869.6</v>
      </c>
      <c r="O259" s="116"/>
      <c r="P259" s="116"/>
      <c r="Q259" s="110">
        <f t="shared" si="69"/>
        <v>10304.4</v>
      </c>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row>
    <row r="260">
      <c r="A260" s="92" t="b">
        <v>1</v>
      </c>
      <c r="B260" s="46">
        <v>46070.0</v>
      </c>
      <c r="C260" s="39" t="s">
        <v>150</v>
      </c>
      <c r="D260" s="37" t="s">
        <v>818</v>
      </c>
      <c r="E260" s="45" t="s">
        <v>819</v>
      </c>
      <c r="F260" s="45" t="s">
        <v>820</v>
      </c>
      <c r="G260" s="38">
        <v>1873333.5</v>
      </c>
      <c r="H260" s="39" t="s">
        <v>279</v>
      </c>
      <c r="I260" s="39">
        <v>7.0</v>
      </c>
      <c r="J260" s="38">
        <f t="shared" si="82"/>
        <v>131133.345</v>
      </c>
      <c r="K260" s="38">
        <f t="shared" si="2"/>
        <v>6556.66725</v>
      </c>
      <c r="L260" s="39">
        <v>88.0</v>
      </c>
      <c r="M260" s="38">
        <f t="shared" si="13"/>
        <v>115397.3436</v>
      </c>
      <c r="N260" s="38">
        <f>J260*0.01</f>
        <v>1311.33345</v>
      </c>
      <c r="O260" s="43"/>
      <c r="P260" s="43"/>
      <c r="Q260" s="40">
        <f t="shared" si="69"/>
        <v>14424.66795</v>
      </c>
      <c r="R260" s="49">
        <v>46105.0</v>
      </c>
      <c r="S260" s="49">
        <v>46123.0</v>
      </c>
      <c r="T260" s="43"/>
      <c r="U260" s="43"/>
      <c r="V260" s="43"/>
      <c r="W260" s="43"/>
      <c r="X260" s="43"/>
      <c r="Y260" s="43"/>
      <c r="Z260" s="43"/>
      <c r="AA260" s="43"/>
      <c r="AB260" s="43"/>
      <c r="AC260" s="43"/>
      <c r="AD260" s="43"/>
      <c r="AE260" s="43"/>
      <c r="AF260" s="43"/>
      <c r="AG260" s="43"/>
      <c r="AH260" s="43"/>
      <c r="AI260" s="43"/>
      <c r="AJ260" s="43"/>
      <c r="AK260" s="43"/>
      <c r="AL260" s="43"/>
    </row>
    <row r="261">
      <c r="A261" s="115" t="b">
        <v>1</v>
      </c>
      <c r="B261" s="96">
        <v>46070.0</v>
      </c>
      <c r="C261" s="50" t="s">
        <v>219</v>
      </c>
      <c r="D261" s="97" t="s">
        <v>821</v>
      </c>
      <c r="E261" s="55" t="s">
        <v>822</v>
      </c>
      <c r="F261" s="55" t="s">
        <v>793</v>
      </c>
      <c r="G261" s="98">
        <f>188888.14*3.6725</f>
        <v>693691.6942</v>
      </c>
      <c r="H261" s="50" t="s">
        <v>823</v>
      </c>
      <c r="I261" s="50">
        <v>3.0</v>
      </c>
      <c r="J261" s="98">
        <f t="shared" si="82"/>
        <v>20810.75082</v>
      </c>
      <c r="K261" s="98">
        <f t="shared" si="2"/>
        <v>1040.537541</v>
      </c>
      <c r="L261" s="50">
        <v>50.0</v>
      </c>
      <c r="M261" s="98">
        <f t="shared" si="13"/>
        <v>10405.37541</v>
      </c>
      <c r="N261" s="98">
        <f>J261*0.08</f>
        <v>1664.860066</v>
      </c>
      <c r="O261" s="52"/>
      <c r="P261" s="52"/>
      <c r="Q261" s="99">
        <f t="shared" si="69"/>
        <v>8740.515346</v>
      </c>
      <c r="R261" s="111">
        <v>46093.0</v>
      </c>
      <c r="S261" s="52"/>
      <c r="T261" s="55" t="s">
        <v>824</v>
      </c>
      <c r="U261" s="52"/>
      <c r="V261" s="52"/>
      <c r="W261" s="52"/>
      <c r="X261" s="52"/>
      <c r="Y261" s="52"/>
      <c r="Z261" s="52"/>
      <c r="AA261" s="52"/>
      <c r="AB261" s="52"/>
      <c r="AC261" s="52"/>
      <c r="AD261" s="52"/>
      <c r="AE261" s="52"/>
      <c r="AF261" s="52"/>
      <c r="AG261" s="52"/>
      <c r="AH261" s="52"/>
      <c r="AI261" s="52"/>
      <c r="AJ261" s="52"/>
      <c r="AK261" s="52"/>
      <c r="AL261" s="52"/>
    </row>
    <row r="262">
      <c r="A262" s="92" t="b">
        <v>1</v>
      </c>
      <c r="B262" s="46">
        <v>46070.0</v>
      </c>
      <c r="C262" s="39" t="s">
        <v>157</v>
      </c>
      <c r="D262" s="37" t="s">
        <v>825</v>
      </c>
      <c r="E262" s="45" t="s">
        <v>826</v>
      </c>
      <c r="F262" s="45"/>
      <c r="G262" s="38">
        <v>2772000.0</v>
      </c>
      <c r="H262" s="39" t="s">
        <v>784</v>
      </c>
      <c r="I262" s="39">
        <v>4.0</v>
      </c>
      <c r="J262" s="38">
        <f t="shared" si="82"/>
        <v>110880</v>
      </c>
      <c r="K262" s="38">
        <f t="shared" si="2"/>
        <v>5544</v>
      </c>
      <c r="L262" s="39">
        <v>88.0</v>
      </c>
      <c r="M262" s="38">
        <f t="shared" si="13"/>
        <v>97574.4</v>
      </c>
      <c r="N262" s="38"/>
      <c r="O262" s="43"/>
      <c r="P262" s="43"/>
      <c r="Q262" s="40">
        <f t="shared" si="69"/>
        <v>13305.6</v>
      </c>
      <c r="R262" s="49">
        <v>46111.0</v>
      </c>
      <c r="S262" s="49">
        <v>46121.0</v>
      </c>
      <c r="T262" s="43"/>
      <c r="U262" s="43"/>
      <c r="V262" s="43"/>
      <c r="W262" s="43"/>
      <c r="X262" s="43"/>
      <c r="Y262" s="43"/>
      <c r="Z262" s="43"/>
      <c r="AA262" s="43"/>
      <c r="AB262" s="43"/>
      <c r="AC262" s="43"/>
      <c r="AD262" s="43"/>
      <c r="AE262" s="43"/>
      <c r="AF262" s="43"/>
      <c r="AG262" s="43"/>
      <c r="AH262" s="43"/>
      <c r="AI262" s="43"/>
      <c r="AJ262" s="43"/>
      <c r="AK262" s="43"/>
      <c r="AL262" s="43"/>
    </row>
    <row r="263">
      <c r="A263" s="92" t="b">
        <v>1</v>
      </c>
      <c r="B263" s="113">
        <v>46071.0</v>
      </c>
      <c r="C263" s="18" t="s">
        <v>150</v>
      </c>
      <c r="D263" s="17" t="s">
        <v>827</v>
      </c>
      <c r="E263" s="82" t="s">
        <v>828</v>
      </c>
      <c r="F263" s="82"/>
      <c r="G263" s="109">
        <v>3119828.0</v>
      </c>
      <c r="H263" s="18" t="s">
        <v>638</v>
      </c>
      <c r="I263" s="18">
        <v>5.0</v>
      </c>
      <c r="J263" s="109">
        <f t="shared" si="82"/>
        <v>155991.4</v>
      </c>
      <c r="K263" s="109">
        <f t="shared" si="2"/>
        <v>7799.57</v>
      </c>
      <c r="L263" s="18">
        <v>90.0</v>
      </c>
      <c r="M263" s="109">
        <f t="shared" si="13"/>
        <v>140392.26</v>
      </c>
      <c r="N263" s="109"/>
      <c r="O263" s="116"/>
      <c r="P263" s="116"/>
      <c r="Q263" s="110">
        <f t="shared" si="69"/>
        <v>15599.14</v>
      </c>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row>
    <row r="264">
      <c r="A264" s="92" t="b">
        <v>1</v>
      </c>
      <c r="B264" s="113">
        <v>46071.0</v>
      </c>
      <c r="C264" s="18" t="s">
        <v>150</v>
      </c>
      <c r="D264" s="17" t="s">
        <v>827</v>
      </c>
      <c r="E264" s="82" t="s">
        <v>828</v>
      </c>
      <c r="F264" s="82"/>
      <c r="G264" s="109">
        <v>3143828.0</v>
      </c>
      <c r="H264" s="18" t="s">
        <v>638</v>
      </c>
      <c r="I264" s="18">
        <v>5.0</v>
      </c>
      <c r="J264" s="109">
        <f t="shared" si="82"/>
        <v>157191.4</v>
      </c>
      <c r="K264" s="109">
        <f t="shared" si="2"/>
        <v>7859.57</v>
      </c>
      <c r="L264" s="18">
        <v>90.0</v>
      </c>
      <c r="M264" s="109">
        <f t="shared" si="13"/>
        <v>141472.26</v>
      </c>
      <c r="N264" s="109"/>
      <c r="O264" s="116"/>
      <c r="P264" s="116"/>
      <c r="Q264" s="110">
        <f t="shared" si="69"/>
        <v>15719.14</v>
      </c>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row>
    <row r="265">
      <c r="A265" s="92" t="b">
        <v>1</v>
      </c>
      <c r="B265" s="113">
        <v>46077.0</v>
      </c>
      <c r="C265" s="18" t="s">
        <v>150</v>
      </c>
      <c r="D265" s="17" t="s">
        <v>829</v>
      </c>
      <c r="E265" s="82" t="s">
        <v>733</v>
      </c>
      <c r="F265" s="82" t="s">
        <v>44</v>
      </c>
      <c r="G265" s="109">
        <v>1353000.0</v>
      </c>
      <c r="H265" s="18" t="s">
        <v>223</v>
      </c>
      <c r="I265" s="18">
        <v>5.0</v>
      </c>
      <c r="J265" s="109">
        <f t="shared" si="82"/>
        <v>67650</v>
      </c>
      <c r="K265" s="109">
        <f t="shared" si="2"/>
        <v>3382.5</v>
      </c>
      <c r="L265" s="18">
        <v>88.0</v>
      </c>
      <c r="M265" s="109">
        <f t="shared" si="13"/>
        <v>59532</v>
      </c>
      <c r="N265" s="109"/>
      <c r="O265" s="116"/>
      <c r="P265" s="116"/>
      <c r="Q265" s="110">
        <f t="shared" si="69"/>
        <v>8118</v>
      </c>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row>
    <row r="266">
      <c r="A266" s="115" t="b">
        <v>1</v>
      </c>
      <c r="B266" s="96">
        <v>46078.0</v>
      </c>
      <c r="C266" s="50" t="s">
        <v>150</v>
      </c>
      <c r="D266" s="97" t="s">
        <v>830</v>
      </c>
      <c r="E266" s="55" t="s">
        <v>831</v>
      </c>
      <c r="F266" s="55"/>
      <c r="G266" s="98">
        <f t="shared" ref="G266:G267" si="87">346515.25*3.6725</f>
        <v>1272577.256</v>
      </c>
      <c r="H266" s="50" t="s">
        <v>174</v>
      </c>
      <c r="I266" s="50">
        <v>3.0</v>
      </c>
      <c r="J266" s="98">
        <f t="shared" si="82"/>
        <v>38177.31767</v>
      </c>
      <c r="K266" s="98">
        <f t="shared" si="2"/>
        <v>1908.865883</v>
      </c>
      <c r="L266" s="50">
        <v>88.0</v>
      </c>
      <c r="M266" s="98">
        <f t="shared" si="13"/>
        <v>33596.03955</v>
      </c>
      <c r="N266" s="98"/>
      <c r="O266" s="52"/>
      <c r="P266" s="52"/>
      <c r="Q266" s="99">
        <f t="shared" si="69"/>
        <v>4581.27812</v>
      </c>
      <c r="R266" s="111">
        <v>46093.0</v>
      </c>
      <c r="S266" s="52"/>
      <c r="T266" s="55" t="s">
        <v>824</v>
      </c>
      <c r="U266" s="52"/>
      <c r="V266" s="52"/>
      <c r="W266" s="52"/>
      <c r="X266" s="52"/>
      <c r="Y266" s="52"/>
      <c r="Z266" s="52"/>
      <c r="AA266" s="52"/>
      <c r="AB266" s="52"/>
      <c r="AC266" s="52"/>
      <c r="AD266" s="52"/>
      <c r="AE266" s="52"/>
      <c r="AF266" s="52"/>
      <c r="AG266" s="52"/>
      <c r="AH266" s="52"/>
      <c r="AI266" s="52"/>
      <c r="AJ266" s="52"/>
      <c r="AK266" s="52"/>
      <c r="AL266" s="52"/>
    </row>
    <row r="267">
      <c r="A267" s="115" t="b">
        <v>1</v>
      </c>
      <c r="B267" s="96">
        <v>46078.0</v>
      </c>
      <c r="C267" s="50" t="s">
        <v>150</v>
      </c>
      <c r="D267" s="97" t="s">
        <v>832</v>
      </c>
      <c r="E267" s="55" t="s">
        <v>831</v>
      </c>
      <c r="F267" s="55"/>
      <c r="G267" s="98">
        <f t="shared" si="87"/>
        <v>1272577.256</v>
      </c>
      <c r="H267" s="50" t="s">
        <v>174</v>
      </c>
      <c r="I267" s="50">
        <v>3.0</v>
      </c>
      <c r="J267" s="98">
        <f t="shared" si="82"/>
        <v>38177.31767</v>
      </c>
      <c r="K267" s="98">
        <f t="shared" si="2"/>
        <v>1908.865883</v>
      </c>
      <c r="L267" s="50">
        <v>88.0</v>
      </c>
      <c r="M267" s="98">
        <f t="shared" si="13"/>
        <v>33596.03955</v>
      </c>
      <c r="N267" s="98"/>
      <c r="O267" s="52"/>
      <c r="P267" s="52"/>
      <c r="Q267" s="99">
        <f t="shared" si="69"/>
        <v>4581.27812</v>
      </c>
      <c r="R267" s="111">
        <v>46093.0</v>
      </c>
      <c r="S267" s="52"/>
      <c r="T267" s="55" t="s">
        <v>824</v>
      </c>
      <c r="U267" s="52"/>
      <c r="V267" s="52"/>
      <c r="W267" s="52"/>
      <c r="X267" s="52"/>
      <c r="Y267" s="52"/>
      <c r="Z267" s="52"/>
      <c r="AA267" s="52"/>
      <c r="AB267" s="52"/>
      <c r="AC267" s="52"/>
      <c r="AD267" s="52"/>
      <c r="AE267" s="52"/>
      <c r="AF267" s="52"/>
      <c r="AG267" s="52"/>
      <c r="AH267" s="52"/>
      <c r="AI267" s="52"/>
      <c r="AJ267" s="52"/>
      <c r="AK267" s="52"/>
      <c r="AL267" s="52"/>
    </row>
    <row r="268">
      <c r="A268" s="92" t="b">
        <v>1</v>
      </c>
      <c r="B268" s="113">
        <v>46079.0</v>
      </c>
      <c r="C268" s="18" t="s">
        <v>219</v>
      </c>
      <c r="D268" s="17" t="s">
        <v>833</v>
      </c>
      <c r="E268" s="82" t="s">
        <v>834</v>
      </c>
      <c r="F268" s="82" t="s">
        <v>793</v>
      </c>
      <c r="G268" s="109">
        <v>2757400.0</v>
      </c>
      <c r="H268" s="18" t="s">
        <v>185</v>
      </c>
      <c r="I268" s="18">
        <v>4.0</v>
      </c>
      <c r="J268" s="109">
        <f t="shared" si="82"/>
        <v>110296</v>
      </c>
      <c r="K268" s="109">
        <f t="shared" si="2"/>
        <v>5514.8</v>
      </c>
      <c r="L268" s="18">
        <v>80.0</v>
      </c>
      <c r="M268" s="109">
        <f t="shared" si="13"/>
        <v>88236.8</v>
      </c>
      <c r="N268" s="109">
        <f>J268*0.08</f>
        <v>8823.68</v>
      </c>
      <c r="O268" s="116"/>
      <c r="P268" s="116"/>
      <c r="Q268" s="110">
        <f t="shared" si="69"/>
        <v>13235.52</v>
      </c>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row>
    <row r="269">
      <c r="A269" s="92" t="b">
        <v>1</v>
      </c>
      <c r="B269" s="113">
        <v>46080.0</v>
      </c>
      <c r="C269" s="18" t="s">
        <v>150</v>
      </c>
      <c r="D269" s="17" t="s">
        <v>835</v>
      </c>
      <c r="E269" s="82" t="s">
        <v>203</v>
      </c>
      <c r="F269" s="82" t="s">
        <v>44</v>
      </c>
      <c r="G269" s="109">
        <v>3286888.0</v>
      </c>
      <c r="H269" s="18" t="s">
        <v>594</v>
      </c>
      <c r="I269" s="18">
        <v>4.0</v>
      </c>
      <c r="J269" s="109">
        <f t="shared" si="82"/>
        <v>131475.52</v>
      </c>
      <c r="K269" s="109">
        <f t="shared" si="2"/>
        <v>6573.776</v>
      </c>
      <c r="L269" s="18">
        <v>88.0</v>
      </c>
      <c r="M269" s="109">
        <f t="shared" si="13"/>
        <v>115698.4576</v>
      </c>
      <c r="N269" s="116"/>
      <c r="O269" s="116"/>
      <c r="P269" s="116"/>
      <c r="Q269" s="110">
        <f t="shared" si="69"/>
        <v>15777.0624</v>
      </c>
      <c r="R269" s="116"/>
      <c r="S269" s="116"/>
      <c r="T269" s="116"/>
      <c r="U269" s="116"/>
      <c r="V269" s="116"/>
      <c r="W269" s="116"/>
      <c r="X269" s="116"/>
      <c r="Y269" s="116"/>
    </row>
    <row r="270">
      <c r="A270" s="92" t="b">
        <v>1</v>
      </c>
      <c r="B270" s="113">
        <v>46080.0</v>
      </c>
      <c r="C270" s="18" t="s">
        <v>150</v>
      </c>
      <c r="D270" s="17" t="s">
        <v>836</v>
      </c>
      <c r="E270" s="82" t="s">
        <v>837</v>
      </c>
      <c r="F270" s="82" t="s">
        <v>44</v>
      </c>
      <c r="G270" s="109">
        <v>6623828.0</v>
      </c>
      <c r="H270" s="18" t="s">
        <v>191</v>
      </c>
      <c r="I270" s="18">
        <v>5.0</v>
      </c>
      <c r="J270" s="109">
        <f t="shared" si="82"/>
        <v>331191.4</v>
      </c>
      <c r="K270" s="109">
        <f t="shared" si="2"/>
        <v>16559.57</v>
      </c>
      <c r="L270" s="18">
        <v>91.0</v>
      </c>
      <c r="M270" s="109">
        <f t="shared" si="13"/>
        <v>301384.174</v>
      </c>
      <c r="N270" s="109"/>
      <c r="O270" s="116"/>
      <c r="P270" s="116"/>
      <c r="Q270" s="110">
        <f t="shared" si="69"/>
        <v>29807.226</v>
      </c>
      <c r="R270" s="116"/>
      <c r="S270" s="116"/>
      <c r="T270" s="116"/>
      <c r="U270" s="116"/>
      <c r="V270" s="116"/>
      <c r="W270" s="116"/>
      <c r="X270" s="116"/>
      <c r="Y270" s="116"/>
    </row>
    <row r="271">
      <c r="A271" s="92" t="b">
        <v>1</v>
      </c>
      <c r="B271" s="113">
        <v>46080.0</v>
      </c>
      <c r="C271" s="18" t="s">
        <v>150</v>
      </c>
      <c r="D271" s="17" t="s">
        <v>836</v>
      </c>
      <c r="E271" s="82" t="s">
        <v>837</v>
      </c>
      <c r="F271" s="82" t="s">
        <v>44</v>
      </c>
      <c r="G271" s="109">
        <v>7274828.0</v>
      </c>
      <c r="H271" s="18" t="s">
        <v>191</v>
      </c>
      <c r="I271" s="18">
        <v>5.0</v>
      </c>
      <c r="J271" s="109">
        <f t="shared" si="82"/>
        <v>363741.4</v>
      </c>
      <c r="K271" s="109">
        <f t="shared" si="2"/>
        <v>18187.07</v>
      </c>
      <c r="L271" s="18">
        <v>91.0</v>
      </c>
      <c r="M271" s="109">
        <f t="shared" si="13"/>
        <v>331004.674</v>
      </c>
      <c r="N271" s="109"/>
      <c r="O271" s="116"/>
      <c r="P271" s="116"/>
      <c r="Q271" s="110">
        <f t="shared" si="69"/>
        <v>32736.726</v>
      </c>
      <c r="R271" s="116"/>
      <c r="S271" s="116"/>
      <c r="T271" s="116"/>
      <c r="U271" s="116"/>
      <c r="V271" s="116"/>
      <c r="W271" s="116"/>
      <c r="X271" s="116"/>
      <c r="Y271" s="116"/>
    </row>
    <row r="272">
      <c r="A272" s="92" t="b">
        <v>1</v>
      </c>
      <c r="B272" s="113">
        <v>46093.0</v>
      </c>
      <c r="C272" s="18" t="s">
        <v>150</v>
      </c>
      <c r="D272" s="82" t="s">
        <v>838</v>
      </c>
      <c r="E272" s="82" t="s">
        <v>152</v>
      </c>
      <c r="F272" s="82" t="s">
        <v>44</v>
      </c>
      <c r="G272" s="109">
        <v>1605721.0</v>
      </c>
      <c r="H272" s="18" t="s">
        <v>839</v>
      </c>
      <c r="I272" s="18">
        <v>5.0</v>
      </c>
      <c r="J272" s="109">
        <f t="shared" si="82"/>
        <v>80286.05</v>
      </c>
      <c r="K272" s="109">
        <f t="shared" si="2"/>
        <v>4014.3025</v>
      </c>
      <c r="L272" s="18">
        <v>90.0</v>
      </c>
      <c r="M272" s="109">
        <f t="shared" si="13"/>
        <v>72257.445</v>
      </c>
      <c r="N272" s="116"/>
      <c r="O272" s="116"/>
      <c r="P272" s="116"/>
      <c r="Q272" s="110">
        <f t="shared" si="69"/>
        <v>8028.605</v>
      </c>
      <c r="R272" s="116"/>
      <c r="S272" s="116"/>
      <c r="T272" s="116"/>
      <c r="U272" s="116"/>
      <c r="V272" s="116"/>
      <c r="W272" s="116"/>
      <c r="X272" s="116"/>
      <c r="Y272" s="116"/>
    </row>
    <row r="273">
      <c r="A273" s="115" t="b">
        <v>1</v>
      </c>
      <c r="B273" s="96">
        <v>46094.0</v>
      </c>
      <c r="C273" s="50" t="s">
        <v>150</v>
      </c>
      <c r="D273" s="55" t="s">
        <v>840</v>
      </c>
      <c r="E273" s="55" t="s">
        <v>355</v>
      </c>
      <c r="F273" s="55" t="s">
        <v>841</v>
      </c>
      <c r="G273" s="98">
        <v>1331810.0</v>
      </c>
      <c r="H273" s="50" t="s">
        <v>223</v>
      </c>
      <c r="I273" s="50">
        <v>5.0</v>
      </c>
      <c r="J273" s="98">
        <f t="shared" si="82"/>
        <v>66590.5</v>
      </c>
      <c r="K273" s="98">
        <f t="shared" si="2"/>
        <v>3329.525</v>
      </c>
      <c r="L273" s="50">
        <v>88.0</v>
      </c>
      <c r="M273" s="98">
        <f t="shared" si="13"/>
        <v>58599.64</v>
      </c>
      <c r="N273" s="98">
        <f>J273*0.01</f>
        <v>665.905</v>
      </c>
      <c r="O273" s="52"/>
      <c r="P273" s="52"/>
      <c r="Q273" s="99">
        <f t="shared" si="69"/>
        <v>7324.955</v>
      </c>
      <c r="R273" s="111">
        <v>46094.0</v>
      </c>
      <c r="S273" s="52"/>
      <c r="T273" s="52"/>
      <c r="U273" s="52"/>
      <c r="V273" s="52"/>
      <c r="W273" s="52"/>
      <c r="X273" s="52"/>
      <c r="Y273" s="52"/>
      <c r="Z273" s="53"/>
      <c r="AA273" s="53"/>
      <c r="AB273" s="53"/>
      <c r="AC273" s="53"/>
      <c r="AD273" s="53"/>
      <c r="AE273" s="53"/>
      <c r="AF273" s="53"/>
      <c r="AG273" s="53"/>
      <c r="AH273" s="53"/>
      <c r="AI273" s="53"/>
      <c r="AJ273" s="53"/>
      <c r="AK273" s="53"/>
      <c r="AL273" s="53"/>
    </row>
    <row r="274">
      <c r="A274" s="115" t="b">
        <v>1</v>
      </c>
      <c r="B274" s="100">
        <v>46108.0</v>
      </c>
      <c r="C274" s="101" t="s">
        <v>150</v>
      </c>
      <c r="D274" s="5" t="s">
        <v>827</v>
      </c>
      <c r="E274" s="82" t="s">
        <v>828</v>
      </c>
      <c r="F274" s="82" t="s">
        <v>44</v>
      </c>
      <c r="G274" s="109">
        <v>2264828.0</v>
      </c>
      <c r="H274" s="18" t="s">
        <v>638</v>
      </c>
      <c r="I274" s="117">
        <v>5.0</v>
      </c>
      <c r="J274" s="109">
        <f t="shared" si="82"/>
        <v>113241.4</v>
      </c>
      <c r="K274" s="109">
        <f t="shared" si="2"/>
        <v>5662.07</v>
      </c>
      <c r="L274" s="117">
        <v>88.0</v>
      </c>
      <c r="M274" s="109">
        <f t="shared" si="13"/>
        <v>99652.432</v>
      </c>
      <c r="N274" s="116"/>
      <c r="O274" s="116"/>
      <c r="P274" s="116"/>
      <c r="Q274" s="110">
        <f t="shared" si="69"/>
        <v>13588.968</v>
      </c>
      <c r="R274" s="116"/>
      <c r="S274" s="116"/>
      <c r="T274" s="116"/>
      <c r="U274" s="116"/>
      <c r="V274" s="116"/>
      <c r="W274" s="116"/>
      <c r="X274" s="116"/>
      <c r="Y274" s="116"/>
    </row>
    <row r="275">
      <c r="A275" s="115" t="b">
        <v>1</v>
      </c>
      <c r="B275" s="100">
        <v>46109.0</v>
      </c>
      <c r="C275" s="101" t="s">
        <v>150</v>
      </c>
      <c r="D275" s="82" t="s">
        <v>842</v>
      </c>
      <c r="E275" s="82" t="s">
        <v>200</v>
      </c>
      <c r="F275" s="82" t="s">
        <v>295</v>
      </c>
      <c r="G275" s="109">
        <v>458417.0</v>
      </c>
      <c r="H275" s="117" t="s">
        <v>284</v>
      </c>
      <c r="I275" s="117">
        <v>5.0</v>
      </c>
      <c r="J275" s="109">
        <f t="shared" si="82"/>
        <v>22920.85</v>
      </c>
      <c r="K275" s="109">
        <f t="shared" si="2"/>
        <v>1146.0425</v>
      </c>
      <c r="L275" s="117">
        <v>80.0</v>
      </c>
      <c r="M275" s="109">
        <f t="shared" si="13"/>
        <v>18336.68</v>
      </c>
      <c r="N275" s="109">
        <f>J275*0.08</f>
        <v>1833.668</v>
      </c>
      <c r="O275" s="116"/>
      <c r="P275" s="116"/>
      <c r="Q275" s="110">
        <f t="shared" si="69"/>
        <v>2750.502</v>
      </c>
      <c r="R275" s="116"/>
      <c r="S275" s="116"/>
      <c r="T275" s="116"/>
      <c r="U275" s="116"/>
      <c r="V275" s="116"/>
      <c r="W275" s="116"/>
      <c r="X275" s="116"/>
      <c r="Y275" s="116"/>
    </row>
    <row r="276">
      <c r="A276" s="115" t="b">
        <v>1</v>
      </c>
      <c r="B276" s="118">
        <v>46111.0</v>
      </c>
      <c r="C276" s="101" t="s">
        <v>150</v>
      </c>
      <c r="D276" s="82" t="s">
        <v>843</v>
      </c>
      <c r="E276" s="82" t="s">
        <v>844</v>
      </c>
      <c r="F276" s="82" t="s">
        <v>788</v>
      </c>
      <c r="G276" s="109">
        <v>748000.0</v>
      </c>
      <c r="H276" s="117" t="s">
        <v>734</v>
      </c>
      <c r="I276" s="117">
        <v>5.0</v>
      </c>
      <c r="J276" s="109">
        <f t="shared" si="82"/>
        <v>37400</v>
      </c>
      <c r="K276" s="109">
        <f t="shared" si="2"/>
        <v>1870</v>
      </c>
      <c r="L276" s="117">
        <v>88.0</v>
      </c>
      <c r="M276" s="109">
        <f t="shared" si="13"/>
        <v>32912</v>
      </c>
      <c r="N276" s="109">
        <f>J276*0.02</f>
        <v>748</v>
      </c>
      <c r="O276" s="116"/>
      <c r="P276" s="116"/>
      <c r="Q276" s="110">
        <f t="shared" si="69"/>
        <v>3740</v>
      </c>
      <c r="R276" s="116"/>
      <c r="S276" s="116"/>
      <c r="T276" s="116"/>
      <c r="U276" s="116"/>
      <c r="V276" s="116"/>
      <c r="W276" s="116"/>
      <c r="X276" s="116"/>
      <c r="Y276" s="116"/>
    </row>
    <row r="277">
      <c r="A277" s="115" t="b">
        <v>1</v>
      </c>
      <c r="B277" s="112">
        <v>46119.0</v>
      </c>
      <c r="C277" s="50" t="s">
        <v>150</v>
      </c>
      <c r="D277" s="55" t="s">
        <v>845</v>
      </c>
      <c r="E277" s="55" t="s">
        <v>846</v>
      </c>
      <c r="F277" s="52"/>
      <c r="G277" s="98">
        <v>1345823.0</v>
      </c>
      <c r="H277" s="50" t="s">
        <v>806</v>
      </c>
      <c r="I277" s="50">
        <v>5.0</v>
      </c>
      <c r="J277" s="98">
        <f t="shared" si="82"/>
        <v>67291.15</v>
      </c>
      <c r="K277" s="98">
        <f t="shared" si="2"/>
        <v>3364.5575</v>
      </c>
      <c r="L277" s="50">
        <v>88.0</v>
      </c>
      <c r="M277" s="98">
        <f t="shared" si="13"/>
        <v>59216.212</v>
      </c>
      <c r="N277" s="98"/>
      <c r="O277" s="52"/>
      <c r="P277" s="52"/>
      <c r="Q277" s="99">
        <f t="shared" si="69"/>
        <v>8074.938</v>
      </c>
      <c r="R277" s="111">
        <v>46125.0</v>
      </c>
      <c r="S277" s="52"/>
      <c r="T277" s="52"/>
      <c r="U277" s="52"/>
      <c r="V277" s="52"/>
      <c r="W277" s="52"/>
      <c r="X277" s="52"/>
      <c r="Y277" s="52"/>
      <c r="Z277" s="53"/>
      <c r="AA277" s="53"/>
      <c r="AB277" s="53"/>
      <c r="AC277" s="53"/>
      <c r="AD277" s="53"/>
      <c r="AE277" s="53"/>
      <c r="AF277" s="53"/>
      <c r="AG277" s="53"/>
      <c r="AH277" s="53"/>
      <c r="AI277" s="53"/>
      <c r="AJ277" s="53"/>
      <c r="AK277" s="53"/>
      <c r="AL277" s="53"/>
    </row>
    <row r="278">
      <c r="A278" s="115" t="b">
        <v>1</v>
      </c>
      <c r="B278" s="118">
        <v>46123.0</v>
      </c>
      <c r="C278" s="101" t="s">
        <v>219</v>
      </c>
      <c r="D278" s="82" t="s">
        <v>847</v>
      </c>
      <c r="E278" s="82" t="s">
        <v>570</v>
      </c>
      <c r="F278" s="82" t="s">
        <v>848</v>
      </c>
      <c r="G278" s="109">
        <v>2761486.0</v>
      </c>
      <c r="H278" s="117" t="s">
        <v>191</v>
      </c>
      <c r="I278" s="117">
        <v>5.0</v>
      </c>
      <c r="J278" s="109">
        <f t="shared" si="82"/>
        <v>138074.3</v>
      </c>
      <c r="K278" s="109">
        <f t="shared" si="2"/>
        <v>6903.715</v>
      </c>
      <c r="L278" s="117">
        <v>80.0</v>
      </c>
      <c r="M278" s="109">
        <f t="shared" si="13"/>
        <v>110459.44</v>
      </c>
      <c r="N278" s="109">
        <f>J278*0.06</f>
        <v>8284.458</v>
      </c>
      <c r="O278" s="116"/>
      <c r="P278" s="116"/>
      <c r="Q278" s="110">
        <f t="shared" si="69"/>
        <v>19330.402</v>
      </c>
      <c r="R278" s="116"/>
      <c r="S278" s="116"/>
      <c r="T278" s="116"/>
      <c r="U278" s="116"/>
      <c r="V278" s="116"/>
      <c r="W278" s="116"/>
      <c r="X278" s="116"/>
      <c r="Y278" s="116"/>
    </row>
  </sheetData>
  <customSheetViews>
    <customSheetView guid="{DBDD2CFC-C01A-4AA0-9270-B4A7006DEB78}" filter="1" showAutoFilter="1">
      <autoFilter ref="$A$1:$Y$273"/>
    </customSheetView>
  </customSheetViews>
  <dataValidations>
    <dataValidation type="list" allowBlank="1" showErrorMessage="1" sqref="C2:C278">
      <formula1>"Real Estate,Partnership,CB"</formula1>
    </dataValidation>
  </dataValidations>
  <printOptions gridLines="1" horizontalCentered="1"/>
  <pageMargins bottom="0.75" footer="0.0" header="0.0" left="0.25" right="0.25" top="0.75"/>
  <pageSetup fitToHeight="0" paperSize="9" cellComments="atEnd" orientation="landscape" pageOrder="overThenDown"/>
  <drawing r:id="rId1"/>
  <tableParts count="1">
    <tablePart r:id="rId3"/>
  </tableParts>
  <extLst>
    <ext uri="{3A4CF648-6AED-40f4-86FF-DC5316D8AED3}">
      <x14:slicerList>
        <x14:slicer r:id="rId4"/>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75"/>
  <cols>
    <col customWidth="1" min="1" max="1" width="2.78"/>
    <col customWidth="1" min="2" max="3" width="13.11"/>
    <col customWidth="1" min="4" max="4" width="21.11"/>
    <col customWidth="1" min="5" max="6" width="19.67"/>
    <col customWidth="1" min="7" max="7" width="14.11"/>
    <col customWidth="1" min="8" max="8" width="19.56"/>
    <col customWidth="1" min="9" max="9" width="16.0"/>
    <col customWidth="1" min="10" max="10" width="14.11"/>
    <col customWidth="1" min="11" max="11" width="9.56"/>
    <col customWidth="1" min="12" max="12" width="13.67"/>
    <col customWidth="1" min="13" max="16" width="18.11"/>
    <col customWidth="1" min="17" max="19" width="16.78"/>
    <col customWidth="1" min="20" max="20" width="25.56"/>
    <col customWidth="1" min="21" max="21" width="33.89"/>
    <col customWidth="1" min="22" max="23" width="21.11"/>
    <col customWidth="1" min="24" max="24" width="16.67"/>
  </cols>
  <sheetData>
    <row r="1">
      <c r="A1" s="23" t="s">
        <v>127</v>
      </c>
      <c r="B1" s="24" t="s">
        <v>99</v>
      </c>
      <c r="C1" s="25" t="s">
        <v>128</v>
      </c>
      <c r="D1" s="26" t="s">
        <v>129</v>
      </c>
      <c r="E1" s="27" t="s">
        <v>130</v>
      </c>
      <c r="F1" s="27" t="s">
        <v>131</v>
      </c>
      <c r="G1" s="28" t="s">
        <v>132</v>
      </c>
      <c r="H1" s="24" t="s">
        <v>133</v>
      </c>
      <c r="I1" s="29" t="s">
        <v>134</v>
      </c>
      <c r="J1" s="28" t="s">
        <v>135</v>
      </c>
      <c r="K1" s="30" t="s">
        <v>136</v>
      </c>
      <c r="L1" s="29" t="s">
        <v>137</v>
      </c>
      <c r="M1" s="28" t="s">
        <v>138</v>
      </c>
      <c r="N1" s="28" t="s">
        <v>139</v>
      </c>
      <c r="O1" s="30" t="s">
        <v>45</v>
      </c>
      <c r="P1" s="31" t="s">
        <v>140</v>
      </c>
      <c r="Q1" s="29" t="s">
        <v>141</v>
      </c>
      <c r="R1" s="32" t="s">
        <v>142</v>
      </c>
      <c r="S1" s="32" t="s">
        <v>143</v>
      </c>
      <c r="T1" s="29" t="s">
        <v>144</v>
      </c>
      <c r="U1" s="29" t="s">
        <v>145</v>
      </c>
      <c r="V1" s="29" t="s">
        <v>146</v>
      </c>
      <c r="W1" s="29" t="s">
        <v>147</v>
      </c>
      <c r="X1" s="29" t="s">
        <v>148</v>
      </c>
      <c r="Y1" s="33" t="s">
        <v>149</v>
      </c>
    </row>
    <row r="2">
      <c r="A2" s="34" t="b">
        <v>0</v>
      </c>
      <c r="B2" s="35">
        <v>45237.0</v>
      </c>
      <c r="C2" s="18" t="s">
        <v>150</v>
      </c>
      <c r="D2" s="36" t="s">
        <v>151</v>
      </c>
      <c r="E2" s="37" t="s">
        <v>152</v>
      </c>
      <c r="F2" s="37" t="s">
        <v>153</v>
      </c>
      <c r="G2" s="38">
        <v>2060952.0</v>
      </c>
      <c r="H2" s="35" t="s">
        <v>154</v>
      </c>
      <c r="I2" s="39">
        <v>5.0</v>
      </c>
      <c r="J2" s="38">
        <f t="shared" ref="J2:J4" si="1">(G2*I2)/100</f>
        <v>103047.6</v>
      </c>
      <c r="K2" s="38">
        <f t="shared" ref="K2:K278" si="2">J2*0.05</f>
        <v>5152.38</v>
      </c>
      <c r="L2" s="39">
        <v>80.0</v>
      </c>
      <c r="M2" s="38">
        <f>(J2*L2)/100</f>
        <v>82438.08</v>
      </c>
      <c r="N2" s="38">
        <v>5125.0</v>
      </c>
      <c r="O2" s="38"/>
      <c r="P2" s="38"/>
      <c r="Q2" s="40">
        <f t="shared" ref="Q2:Q7" si="3">J2-M2-N2</f>
        <v>15484.52</v>
      </c>
      <c r="R2" s="39"/>
      <c r="S2" s="39"/>
      <c r="T2" s="39" t="s">
        <v>143</v>
      </c>
      <c r="U2" s="39" t="s">
        <v>155</v>
      </c>
      <c r="V2" s="39" t="s">
        <v>155</v>
      </c>
      <c r="W2" s="39" t="s">
        <v>156</v>
      </c>
      <c r="X2" s="41"/>
      <c r="Y2" s="42"/>
      <c r="Z2" s="42"/>
      <c r="AA2" s="42"/>
      <c r="AB2" s="42"/>
      <c r="AC2" s="42"/>
      <c r="AD2" s="42"/>
      <c r="AE2" s="42"/>
      <c r="AF2" s="42"/>
      <c r="AG2" s="42"/>
      <c r="AH2" s="42"/>
      <c r="AI2" s="42"/>
      <c r="AJ2" s="42"/>
      <c r="AK2" s="42"/>
      <c r="AL2" s="42"/>
    </row>
    <row r="3">
      <c r="A3" s="34" t="b">
        <v>0</v>
      </c>
      <c r="B3" s="35">
        <v>45261.0</v>
      </c>
      <c r="C3" s="18" t="s">
        <v>157</v>
      </c>
      <c r="D3" s="36" t="s">
        <v>158</v>
      </c>
      <c r="E3" s="37" t="s">
        <v>159</v>
      </c>
      <c r="F3" s="37" t="s">
        <v>160</v>
      </c>
      <c r="G3" s="38">
        <v>895350.0</v>
      </c>
      <c r="H3" s="39" t="s">
        <v>161</v>
      </c>
      <c r="I3" s="39">
        <v>7.0</v>
      </c>
      <c r="J3" s="38">
        <f t="shared" si="1"/>
        <v>62674.5</v>
      </c>
      <c r="K3" s="38">
        <f t="shared" si="2"/>
        <v>3133.725</v>
      </c>
      <c r="L3" s="39">
        <v>25.0</v>
      </c>
      <c r="M3" s="38">
        <f t="shared" ref="M3:M4" si="4">(J3-N3)*0.25</f>
        <v>11191.875</v>
      </c>
      <c r="N3" s="38">
        <f t="shared" ref="N3:N4" si="5">J3/7*2</f>
        <v>17907</v>
      </c>
      <c r="O3" s="38"/>
      <c r="P3" s="38"/>
      <c r="Q3" s="40">
        <f t="shared" si="3"/>
        <v>33575.625</v>
      </c>
      <c r="R3" s="39"/>
      <c r="S3" s="39"/>
      <c r="T3" s="39" t="s">
        <v>143</v>
      </c>
      <c r="U3" s="39" t="s">
        <v>155</v>
      </c>
      <c r="V3" s="39" t="s">
        <v>155</v>
      </c>
      <c r="W3" s="39" t="s">
        <v>156</v>
      </c>
      <c r="X3" s="43"/>
      <c r="Y3" s="44"/>
      <c r="Z3" s="44"/>
      <c r="AA3" s="44"/>
      <c r="AB3" s="44"/>
      <c r="AC3" s="44"/>
      <c r="AD3" s="44"/>
      <c r="AE3" s="44"/>
      <c r="AF3" s="44"/>
      <c r="AG3" s="44"/>
      <c r="AH3" s="44"/>
      <c r="AI3" s="44"/>
      <c r="AJ3" s="44"/>
      <c r="AK3" s="44"/>
      <c r="AL3" s="44"/>
    </row>
    <row r="4">
      <c r="A4" s="34" t="b">
        <v>0</v>
      </c>
      <c r="B4" s="35">
        <v>45261.0</v>
      </c>
      <c r="C4" s="18" t="s">
        <v>157</v>
      </c>
      <c r="D4" s="36" t="s">
        <v>162</v>
      </c>
      <c r="E4" s="37" t="s">
        <v>159</v>
      </c>
      <c r="F4" s="37" t="s">
        <v>160</v>
      </c>
      <c r="G4" s="38">
        <v>897255.0</v>
      </c>
      <c r="H4" s="39" t="s">
        <v>161</v>
      </c>
      <c r="I4" s="39">
        <v>7.0</v>
      </c>
      <c r="J4" s="38">
        <f t="shared" si="1"/>
        <v>62807.85</v>
      </c>
      <c r="K4" s="38">
        <f t="shared" si="2"/>
        <v>3140.3925</v>
      </c>
      <c r="L4" s="39">
        <v>25.0</v>
      </c>
      <c r="M4" s="38">
        <f t="shared" si="4"/>
        <v>11215.6875</v>
      </c>
      <c r="N4" s="38">
        <f t="shared" si="5"/>
        <v>17945.1</v>
      </c>
      <c r="O4" s="38"/>
      <c r="P4" s="38"/>
      <c r="Q4" s="40">
        <f t="shared" si="3"/>
        <v>33647.0625</v>
      </c>
      <c r="R4" s="39"/>
      <c r="S4" s="39"/>
      <c r="T4" s="39" t="s">
        <v>143</v>
      </c>
      <c r="U4" s="39" t="s">
        <v>155</v>
      </c>
      <c r="V4" s="39" t="s">
        <v>155</v>
      </c>
      <c r="W4" s="39" t="s">
        <v>156</v>
      </c>
      <c r="X4" s="43"/>
      <c r="Y4" s="44"/>
      <c r="Z4" s="44"/>
      <c r="AA4" s="44"/>
      <c r="AB4" s="44"/>
      <c r="AC4" s="44"/>
      <c r="AD4" s="44"/>
      <c r="AE4" s="44"/>
      <c r="AF4" s="44"/>
      <c r="AG4" s="44"/>
      <c r="AH4" s="44"/>
      <c r="AI4" s="44"/>
      <c r="AJ4" s="44"/>
      <c r="AK4" s="44"/>
      <c r="AL4" s="44"/>
    </row>
    <row r="5">
      <c r="A5" s="34" t="b">
        <v>0</v>
      </c>
      <c r="B5" s="35">
        <v>45272.0</v>
      </c>
      <c r="C5" s="18" t="s">
        <v>157</v>
      </c>
      <c r="D5" s="37" t="s">
        <v>163</v>
      </c>
      <c r="E5" s="37" t="s">
        <v>159</v>
      </c>
      <c r="F5" s="37" t="s">
        <v>156</v>
      </c>
      <c r="G5" s="38">
        <v>909405.0</v>
      </c>
      <c r="H5" s="39" t="s">
        <v>161</v>
      </c>
      <c r="I5" s="39">
        <v>7.0</v>
      </c>
      <c r="J5" s="38">
        <f>(G5*I5)/100+3</f>
        <v>63661.35</v>
      </c>
      <c r="K5" s="38">
        <f t="shared" si="2"/>
        <v>3183.0675</v>
      </c>
      <c r="L5" s="39">
        <v>25.0</v>
      </c>
      <c r="M5" s="38">
        <f t="shared" ref="M5:M18" si="6">(J5*L5)/100</f>
        <v>15915.3375</v>
      </c>
      <c r="N5" s="38">
        <v>0.0</v>
      </c>
      <c r="O5" s="38"/>
      <c r="P5" s="38"/>
      <c r="Q5" s="40">
        <f t="shared" si="3"/>
        <v>47746.0125</v>
      </c>
      <c r="R5" s="39"/>
      <c r="S5" s="39"/>
      <c r="T5" s="39" t="s">
        <v>143</v>
      </c>
      <c r="U5" s="39" t="s">
        <v>155</v>
      </c>
      <c r="V5" s="39" t="s">
        <v>155</v>
      </c>
      <c r="W5" s="39" t="s">
        <v>156</v>
      </c>
      <c r="X5" s="45" t="s">
        <v>44</v>
      </c>
      <c r="Y5" s="44"/>
      <c r="Z5" s="44"/>
      <c r="AA5" s="44"/>
      <c r="AB5" s="44"/>
      <c r="AC5" s="44"/>
      <c r="AD5" s="44"/>
      <c r="AE5" s="44"/>
      <c r="AF5" s="44"/>
      <c r="AG5" s="44"/>
      <c r="AH5" s="44"/>
      <c r="AI5" s="44"/>
      <c r="AJ5" s="44"/>
      <c r="AK5" s="44"/>
      <c r="AL5" s="44"/>
    </row>
    <row r="6">
      <c r="A6" s="34" t="b">
        <v>0</v>
      </c>
      <c r="B6" s="35">
        <v>45272.0</v>
      </c>
      <c r="C6" s="18" t="s">
        <v>150</v>
      </c>
      <c r="D6" s="36" t="s">
        <v>164</v>
      </c>
      <c r="E6" s="37" t="s">
        <v>165</v>
      </c>
      <c r="F6" s="37" t="s">
        <v>166</v>
      </c>
      <c r="G6" s="38">
        <v>1235779.0</v>
      </c>
      <c r="H6" s="35" t="s">
        <v>167</v>
      </c>
      <c r="I6" s="39">
        <v>7.0</v>
      </c>
      <c r="J6" s="38">
        <f t="shared" ref="J6:J159" si="7">(G6*I6)/100</f>
        <v>86504.53</v>
      </c>
      <c r="K6" s="38">
        <f t="shared" si="2"/>
        <v>4325.2265</v>
      </c>
      <c r="L6" s="39">
        <v>88.0</v>
      </c>
      <c r="M6" s="38">
        <f t="shared" si="6"/>
        <v>76123.9864</v>
      </c>
      <c r="N6" s="38">
        <v>1400.0</v>
      </c>
      <c r="O6" s="38"/>
      <c r="P6" s="38"/>
      <c r="Q6" s="40">
        <f t="shared" si="3"/>
        <v>8980.5436</v>
      </c>
      <c r="R6" s="39"/>
      <c r="S6" s="39"/>
      <c r="T6" s="39" t="s">
        <v>143</v>
      </c>
      <c r="U6" s="39" t="s">
        <v>155</v>
      </c>
      <c r="V6" s="39" t="s">
        <v>156</v>
      </c>
      <c r="W6" s="39" t="s">
        <v>156</v>
      </c>
      <c r="X6" s="43"/>
      <c r="Y6" s="44"/>
      <c r="Z6" s="44"/>
      <c r="AA6" s="44"/>
      <c r="AB6" s="44"/>
      <c r="AC6" s="44"/>
      <c r="AD6" s="44"/>
      <c r="AE6" s="44"/>
      <c r="AF6" s="44"/>
      <c r="AG6" s="44"/>
      <c r="AH6" s="44"/>
      <c r="AI6" s="44"/>
      <c r="AJ6" s="44"/>
      <c r="AK6" s="44"/>
      <c r="AL6" s="44"/>
    </row>
    <row r="7">
      <c r="A7" s="34" t="b">
        <v>0</v>
      </c>
      <c r="B7" s="35">
        <v>45272.0</v>
      </c>
      <c r="C7" s="39" t="s">
        <v>150</v>
      </c>
      <c r="D7" s="36" t="s">
        <v>164</v>
      </c>
      <c r="E7" s="37" t="s">
        <v>165</v>
      </c>
      <c r="F7" s="37" t="s">
        <v>166</v>
      </c>
      <c r="G7" s="38">
        <v>930960.0</v>
      </c>
      <c r="H7" s="39" t="s">
        <v>168</v>
      </c>
      <c r="I7" s="39">
        <v>5.0</v>
      </c>
      <c r="J7" s="38">
        <f t="shared" si="7"/>
        <v>46548</v>
      </c>
      <c r="K7" s="38">
        <f t="shared" si="2"/>
        <v>2327.4</v>
      </c>
      <c r="L7" s="39">
        <v>88.0</v>
      </c>
      <c r="M7" s="38">
        <f t="shared" si="6"/>
        <v>40962.24</v>
      </c>
      <c r="N7" s="38">
        <v>1500.0</v>
      </c>
      <c r="O7" s="38"/>
      <c r="P7" s="38"/>
      <c r="Q7" s="40">
        <f t="shared" si="3"/>
        <v>4085.76</v>
      </c>
      <c r="R7" s="39"/>
      <c r="S7" s="39"/>
      <c r="T7" s="39" t="s">
        <v>143</v>
      </c>
      <c r="U7" s="39" t="s">
        <v>155</v>
      </c>
      <c r="V7" s="39" t="s">
        <v>155</v>
      </c>
      <c r="W7" s="39" t="s">
        <v>156</v>
      </c>
      <c r="X7" s="45" t="s">
        <v>44</v>
      </c>
      <c r="Y7" s="44"/>
      <c r="Z7" s="44"/>
      <c r="AA7" s="44"/>
      <c r="AB7" s="44"/>
      <c r="AC7" s="44"/>
      <c r="AD7" s="44"/>
      <c r="AE7" s="44"/>
      <c r="AF7" s="44"/>
      <c r="AG7" s="44"/>
      <c r="AH7" s="44"/>
      <c r="AI7" s="44"/>
      <c r="AJ7" s="44"/>
      <c r="AK7" s="44"/>
      <c r="AL7" s="44"/>
    </row>
    <row r="8">
      <c r="A8" s="34" t="b">
        <v>0</v>
      </c>
      <c r="B8" s="35">
        <v>45281.0</v>
      </c>
      <c r="C8" s="18" t="s">
        <v>157</v>
      </c>
      <c r="D8" s="37" t="s">
        <v>169</v>
      </c>
      <c r="E8" s="37" t="s">
        <v>170</v>
      </c>
      <c r="F8" s="37" t="s">
        <v>156</v>
      </c>
      <c r="G8" s="38">
        <v>934606.0</v>
      </c>
      <c r="H8" s="39" t="s">
        <v>171</v>
      </c>
      <c r="I8" s="39">
        <v>5.0</v>
      </c>
      <c r="J8" s="38">
        <f t="shared" si="7"/>
        <v>46730.3</v>
      </c>
      <c r="K8" s="38">
        <f t="shared" si="2"/>
        <v>2336.515</v>
      </c>
      <c r="L8" s="39">
        <v>50.0</v>
      </c>
      <c r="M8" s="38">
        <f t="shared" si="6"/>
        <v>23365.15</v>
      </c>
      <c r="N8" s="38"/>
      <c r="O8" s="38"/>
      <c r="P8" s="38"/>
      <c r="Q8" s="40">
        <f t="shared" ref="Q8:Q11" si="8">J8-M8</f>
        <v>23365.15</v>
      </c>
      <c r="R8" s="39"/>
      <c r="S8" s="39"/>
      <c r="T8" s="39" t="s">
        <v>143</v>
      </c>
      <c r="U8" s="39"/>
      <c r="V8" s="39" t="s">
        <v>156</v>
      </c>
      <c r="W8" s="39" t="s">
        <v>156</v>
      </c>
      <c r="X8" s="43"/>
      <c r="Y8" s="44"/>
      <c r="Z8" s="44"/>
      <c r="AA8" s="44"/>
      <c r="AB8" s="44"/>
      <c r="AC8" s="44"/>
      <c r="AD8" s="44"/>
      <c r="AE8" s="44"/>
      <c r="AF8" s="44"/>
      <c r="AG8" s="44"/>
      <c r="AH8" s="44"/>
      <c r="AI8" s="44"/>
      <c r="AJ8" s="44"/>
      <c r="AK8" s="44"/>
      <c r="AL8" s="44"/>
    </row>
    <row r="9">
      <c r="A9" s="34" t="b">
        <v>0</v>
      </c>
      <c r="B9" s="46">
        <v>45325.0</v>
      </c>
      <c r="C9" s="18" t="s">
        <v>150</v>
      </c>
      <c r="D9" s="37" t="s">
        <v>172</v>
      </c>
      <c r="E9" s="37" t="s">
        <v>173</v>
      </c>
      <c r="F9" s="37" t="s">
        <v>156</v>
      </c>
      <c r="G9" s="38">
        <v>812888.0</v>
      </c>
      <c r="H9" s="35" t="s">
        <v>174</v>
      </c>
      <c r="I9" s="39">
        <v>5.0</v>
      </c>
      <c r="J9" s="38">
        <f t="shared" si="7"/>
        <v>40644.4</v>
      </c>
      <c r="K9" s="38">
        <f t="shared" si="2"/>
        <v>2032.22</v>
      </c>
      <c r="L9" s="39">
        <v>88.0</v>
      </c>
      <c r="M9" s="38">
        <f t="shared" si="6"/>
        <v>35767.072</v>
      </c>
      <c r="N9" s="38" t="s">
        <v>156</v>
      </c>
      <c r="O9" s="38">
        <f t="shared" ref="O9:O11" si="9">J9*0.01</f>
        <v>406.444</v>
      </c>
      <c r="P9" s="38"/>
      <c r="Q9" s="40">
        <f t="shared" si="8"/>
        <v>4877.328</v>
      </c>
      <c r="R9" s="39"/>
      <c r="S9" s="39"/>
      <c r="T9" s="39" t="s">
        <v>143</v>
      </c>
      <c r="U9" s="47"/>
      <c r="V9" s="47"/>
      <c r="W9" s="39" t="s">
        <v>156</v>
      </c>
      <c r="X9" s="45" t="s">
        <v>2</v>
      </c>
      <c r="Y9" s="44"/>
      <c r="Z9" s="44"/>
      <c r="AA9" s="44"/>
      <c r="AB9" s="44"/>
      <c r="AC9" s="44"/>
      <c r="AD9" s="44"/>
      <c r="AE9" s="44"/>
      <c r="AF9" s="44"/>
      <c r="AG9" s="44"/>
      <c r="AH9" s="44"/>
      <c r="AI9" s="44"/>
      <c r="AJ9" s="44"/>
      <c r="AK9" s="44"/>
      <c r="AL9" s="44"/>
    </row>
    <row r="10">
      <c r="A10" s="34" t="b">
        <v>0</v>
      </c>
      <c r="B10" s="35">
        <v>45325.0</v>
      </c>
      <c r="C10" s="18" t="s">
        <v>150</v>
      </c>
      <c r="D10" s="37" t="s">
        <v>175</v>
      </c>
      <c r="E10" s="37" t="s">
        <v>173</v>
      </c>
      <c r="F10" s="37" t="s">
        <v>156</v>
      </c>
      <c r="G10" s="38">
        <v>812888.0</v>
      </c>
      <c r="H10" s="35" t="s">
        <v>174</v>
      </c>
      <c r="I10" s="39">
        <v>5.0</v>
      </c>
      <c r="J10" s="38">
        <f t="shared" si="7"/>
        <v>40644.4</v>
      </c>
      <c r="K10" s="38">
        <f t="shared" si="2"/>
        <v>2032.22</v>
      </c>
      <c r="L10" s="39">
        <v>88.0</v>
      </c>
      <c r="M10" s="38">
        <f t="shared" si="6"/>
        <v>35767.072</v>
      </c>
      <c r="N10" s="38" t="s">
        <v>156</v>
      </c>
      <c r="O10" s="38">
        <f t="shared" si="9"/>
        <v>406.444</v>
      </c>
      <c r="P10" s="38"/>
      <c r="Q10" s="40">
        <f t="shared" si="8"/>
        <v>4877.328</v>
      </c>
      <c r="R10" s="39"/>
      <c r="S10" s="39"/>
      <c r="T10" s="39" t="s">
        <v>143</v>
      </c>
      <c r="U10" s="47"/>
      <c r="V10" s="47"/>
      <c r="W10" s="39" t="s">
        <v>156</v>
      </c>
      <c r="X10" s="45" t="s">
        <v>44</v>
      </c>
      <c r="Y10" s="44"/>
      <c r="Z10" s="44"/>
      <c r="AA10" s="44"/>
      <c r="AB10" s="44"/>
      <c r="AC10" s="44"/>
      <c r="AD10" s="44"/>
      <c r="AE10" s="44"/>
      <c r="AF10" s="44"/>
      <c r="AG10" s="44"/>
      <c r="AH10" s="44"/>
      <c r="AI10" s="44"/>
      <c r="AJ10" s="44"/>
      <c r="AK10" s="44"/>
      <c r="AL10" s="44"/>
    </row>
    <row r="11">
      <c r="A11" s="34" t="b">
        <v>0</v>
      </c>
      <c r="B11" s="46">
        <v>45325.0</v>
      </c>
      <c r="C11" s="18" t="s">
        <v>150</v>
      </c>
      <c r="D11" s="37" t="s">
        <v>176</v>
      </c>
      <c r="E11" s="37" t="s">
        <v>173</v>
      </c>
      <c r="F11" s="37" t="s">
        <v>156</v>
      </c>
      <c r="G11" s="38">
        <v>816888.0</v>
      </c>
      <c r="H11" s="35" t="s">
        <v>174</v>
      </c>
      <c r="I11" s="39">
        <v>5.0</v>
      </c>
      <c r="J11" s="38">
        <f t="shared" si="7"/>
        <v>40844.4</v>
      </c>
      <c r="K11" s="38">
        <f t="shared" si="2"/>
        <v>2042.22</v>
      </c>
      <c r="L11" s="39">
        <v>88.0</v>
      </c>
      <c r="M11" s="38">
        <f t="shared" si="6"/>
        <v>35943.072</v>
      </c>
      <c r="N11" s="38" t="s">
        <v>156</v>
      </c>
      <c r="O11" s="38">
        <f t="shared" si="9"/>
        <v>408.444</v>
      </c>
      <c r="P11" s="38"/>
      <c r="Q11" s="40">
        <f t="shared" si="8"/>
        <v>4901.328</v>
      </c>
      <c r="R11" s="39"/>
      <c r="S11" s="39"/>
      <c r="T11" s="39" t="s">
        <v>143</v>
      </c>
      <c r="U11" s="47"/>
      <c r="V11" s="47"/>
      <c r="W11" s="39" t="s">
        <v>156</v>
      </c>
      <c r="X11" s="43"/>
      <c r="Y11" s="44"/>
      <c r="Z11" s="44"/>
      <c r="AA11" s="44"/>
      <c r="AB11" s="44"/>
      <c r="AC11" s="44"/>
      <c r="AD11" s="44"/>
      <c r="AE11" s="44"/>
      <c r="AF11" s="44"/>
      <c r="AG11" s="44"/>
      <c r="AH11" s="44"/>
      <c r="AI11" s="44"/>
      <c r="AJ11" s="44"/>
      <c r="AK11" s="44"/>
      <c r="AL11" s="44"/>
    </row>
    <row r="12">
      <c r="A12" s="34" t="b">
        <v>0</v>
      </c>
      <c r="B12" s="35">
        <v>45326.0</v>
      </c>
      <c r="C12" s="18" t="s">
        <v>150</v>
      </c>
      <c r="D12" s="37" t="s">
        <v>177</v>
      </c>
      <c r="E12" s="37" t="s">
        <v>178</v>
      </c>
      <c r="F12" s="37" t="s">
        <v>153</v>
      </c>
      <c r="G12" s="38">
        <v>1116000.0</v>
      </c>
      <c r="H12" s="39" t="s">
        <v>179</v>
      </c>
      <c r="I12" s="39">
        <v>7.0</v>
      </c>
      <c r="J12" s="38">
        <f t="shared" si="7"/>
        <v>78120</v>
      </c>
      <c r="K12" s="38">
        <f t="shared" si="2"/>
        <v>3906</v>
      </c>
      <c r="L12" s="39">
        <v>88.0</v>
      </c>
      <c r="M12" s="38">
        <f t="shared" si="6"/>
        <v>68745.6</v>
      </c>
      <c r="N12" s="38">
        <f>(J12-M12)*0.25</f>
        <v>2343.6</v>
      </c>
      <c r="O12" s="38"/>
      <c r="P12" s="38"/>
      <c r="Q12" s="40">
        <f>J12-M12-N12</f>
        <v>7030.8</v>
      </c>
      <c r="R12" s="39"/>
      <c r="S12" s="39"/>
      <c r="T12" s="39" t="s">
        <v>143</v>
      </c>
      <c r="U12" s="39" t="s">
        <v>155</v>
      </c>
      <c r="V12" s="48"/>
      <c r="W12" s="39" t="s">
        <v>156</v>
      </c>
      <c r="X12" s="43"/>
      <c r="Y12" s="44"/>
      <c r="Z12" s="44"/>
      <c r="AA12" s="44"/>
      <c r="AB12" s="44"/>
      <c r="AC12" s="44"/>
      <c r="AD12" s="44"/>
      <c r="AE12" s="44"/>
      <c r="AF12" s="44"/>
      <c r="AG12" s="44"/>
      <c r="AH12" s="44"/>
      <c r="AI12" s="44"/>
      <c r="AJ12" s="44"/>
      <c r="AK12" s="44"/>
      <c r="AL12" s="44"/>
    </row>
    <row r="13">
      <c r="A13" s="34" t="b">
        <v>0</v>
      </c>
      <c r="B13" s="35">
        <v>45328.0</v>
      </c>
      <c r="C13" s="18" t="s">
        <v>150</v>
      </c>
      <c r="D13" s="37" t="s">
        <v>180</v>
      </c>
      <c r="E13" s="37" t="s">
        <v>181</v>
      </c>
      <c r="F13" s="37" t="s">
        <v>156</v>
      </c>
      <c r="G13" s="38">
        <v>1007500.0</v>
      </c>
      <c r="H13" s="39" t="s">
        <v>182</v>
      </c>
      <c r="I13" s="39">
        <v>4.0</v>
      </c>
      <c r="J13" s="38">
        <f t="shared" si="7"/>
        <v>40300</v>
      </c>
      <c r="K13" s="38">
        <f t="shared" si="2"/>
        <v>2015</v>
      </c>
      <c r="L13" s="39">
        <v>83.0</v>
      </c>
      <c r="M13" s="38">
        <f t="shared" si="6"/>
        <v>33449</v>
      </c>
      <c r="N13" s="38" t="s">
        <v>156</v>
      </c>
      <c r="O13" s="38"/>
      <c r="P13" s="38"/>
      <c r="Q13" s="40">
        <f t="shared" ref="Q13:Q15" si="10">J13-M13</f>
        <v>6851</v>
      </c>
      <c r="R13" s="39"/>
      <c r="S13" s="39"/>
      <c r="T13" s="39" t="s">
        <v>143</v>
      </c>
      <c r="U13" s="39" t="s">
        <v>155</v>
      </c>
      <c r="V13" s="39" t="s">
        <v>156</v>
      </c>
      <c r="W13" s="39" t="s">
        <v>156</v>
      </c>
      <c r="X13" s="43"/>
      <c r="Y13" s="44"/>
      <c r="Z13" s="44"/>
      <c r="AA13" s="44"/>
      <c r="AB13" s="44"/>
      <c r="AC13" s="44"/>
      <c r="AD13" s="44"/>
      <c r="AE13" s="44"/>
      <c r="AF13" s="44"/>
      <c r="AG13" s="44"/>
      <c r="AH13" s="44"/>
      <c r="AI13" s="44"/>
      <c r="AJ13" s="44"/>
      <c r="AK13" s="44"/>
      <c r="AL13" s="44"/>
    </row>
    <row r="14">
      <c r="A14" s="34" t="b">
        <v>0</v>
      </c>
      <c r="B14" s="35">
        <v>45329.0</v>
      </c>
      <c r="C14" s="18" t="s">
        <v>157</v>
      </c>
      <c r="D14" s="37" t="s">
        <v>183</v>
      </c>
      <c r="E14" s="37" t="s">
        <v>184</v>
      </c>
      <c r="F14" s="37" t="s">
        <v>156</v>
      </c>
      <c r="G14" s="38">
        <v>4115000.0</v>
      </c>
      <c r="H14" s="39" t="s">
        <v>185</v>
      </c>
      <c r="I14" s="39">
        <v>4.0</v>
      </c>
      <c r="J14" s="38">
        <f t="shared" si="7"/>
        <v>164600</v>
      </c>
      <c r="K14" s="38">
        <f t="shared" si="2"/>
        <v>8230</v>
      </c>
      <c r="L14" s="39">
        <v>0.0</v>
      </c>
      <c r="M14" s="38">
        <f t="shared" si="6"/>
        <v>0</v>
      </c>
      <c r="N14" s="38" t="s">
        <v>156</v>
      </c>
      <c r="O14" s="38"/>
      <c r="P14" s="38"/>
      <c r="Q14" s="40">
        <f t="shared" si="10"/>
        <v>164600</v>
      </c>
      <c r="R14" s="39"/>
      <c r="S14" s="39"/>
      <c r="T14" s="39" t="s">
        <v>143</v>
      </c>
      <c r="U14" s="39" t="s">
        <v>156</v>
      </c>
      <c r="V14" s="39" t="s">
        <v>156</v>
      </c>
      <c r="W14" s="39" t="s">
        <v>156</v>
      </c>
      <c r="X14" s="43"/>
      <c r="Y14" s="44"/>
      <c r="Z14" s="44"/>
      <c r="AA14" s="44"/>
      <c r="AB14" s="44"/>
      <c r="AC14" s="44"/>
      <c r="AD14" s="44"/>
      <c r="AE14" s="44"/>
      <c r="AF14" s="44"/>
      <c r="AG14" s="44"/>
      <c r="AH14" s="44"/>
      <c r="AI14" s="44"/>
      <c r="AJ14" s="44"/>
      <c r="AK14" s="44"/>
      <c r="AL14" s="44"/>
    </row>
    <row r="15">
      <c r="A15" s="34" t="b">
        <v>0</v>
      </c>
      <c r="B15" s="35">
        <v>45336.0</v>
      </c>
      <c r="C15" s="18" t="s">
        <v>157</v>
      </c>
      <c r="D15" s="37" t="s">
        <v>186</v>
      </c>
      <c r="E15" s="37" t="s">
        <v>187</v>
      </c>
      <c r="F15" s="37" t="s">
        <v>156</v>
      </c>
      <c r="G15" s="38">
        <v>1733260.0</v>
      </c>
      <c r="H15" s="39" t="s">
        <v>185</v>
      </c>
      <c r="I15" s="39">
        <v>4.0</v>
      </c>
      <c r="J15" s="38">
        <f t="shared" si="7"/>
        <v>69330.4</v>
      </c>
      <c r="K15" s="38">
        <f t="shared" si="2"/>
        <v>3466.52</v>
      </c>
      <c r="L15" s="39">
        <v>75.0</v>
      </c>
      <c r="M15" s="38">
        <f t="shared" si="6"/>
        <v>51997.8</v>
      </c>
      <c r="N15" s="38" t="s">
        <v>156</v>
      </c>
      <c r="O15" s="38"/>
      <c r="P15" s="38"/>
      <c r="Q15" s="40">
        <f t="shared" si="10"/>
        <v>17332.6</v>
      </c>
      <c r="R15" s="39"/>
      <c r="S15" s="39"/>
      <c r="T15" s="39" t="s">
        <v>143</v>
      </c>
      <c r="U15" s="39" t="s">
        <v>155</v>
      </c>
      <c r="V15" s="39" t="s">
        <v>156</v>
      </c>
      <c r="W15" s="39" t="s">
        <v>156</v>
      </c>
      <c r="X15" s="43"/>
      <c r="Y15" s="44"/>
      <c r="Z15" s="44"/>
      <c r="AA15" s="44"/>
      <c r="AB15" s="44"/>
      <c r="AC15" s="44"/>
      <c r="AD15" s="44"/>
      <c r="AE15" s="44"/>
      <c r="AF15" s="44"/>
      <c r="AG15" s="44"/>
      <c r="AH15" s="44"/>
      <c r="AI15" s="44"/>
      <c r="AJ15" s="44"/>
      <c r="AK15" s="44"/>
      <c r="AL15" s="44"/>
    </row>
    <row r="16">
      <c r="A16" s="34" t="b">
        <v>0</v>
      </c>
      <c r="B16" s="35">
        <v>45343.0</v>
      </c>
      <c r="C16" s="18" t="s">
        <v>150</v>
      </c>
      <c r="D16" s="37" t="s">
        <v>188</v>
      </c>
      <c r="E16" s="37" t="s">
        <v>189</v>
      </c>
      <c r="F16" s="37" t="s">
        <v>190</v>
      </c>
      <c r="G16" s="38">
        <v>2538828.0</v>
      </c>
      <c r="H16" s="39" t="s">
        <v>191</v>
      </c>
      <c r="I16" s="39">
        <v>5.0</v>
      </c>
      <c r="J16" s="38">
        <f t="shared" si="7"/>
        <v>126941.4</v>
      </c>
      <c r="K16" s="38">
        <f t="shared" si="2"/>
        <v>6347.07</v>
      </c>
      <c r="L16" s="39">
        <v>88.0</v>
      </c>
      <c r="M16" s="38">
        <f t="shared" si="6"/>
        <v>111708.432</v>
      </c>
      <c r="N16" s="38">
        <v>3000.0</v>
      </c>
      <c r="O16" s="38">
        <f>J16*0.01</f>
        <v>1269.414</v>
      </c>
      <c r="P16" s="38"/>
      <c r="Q16" s="40">
        <f>J16-M16-N16</f>
        <v>12232.968</v>
      </c>
      <c r="R16" s="39"/>
      <c r="S16" s="39"/>
      <c r="T16" s="39" t="s">
        <v>143</v>
      </c>
      <c r="U16" s="39" t="s">
        <v>155</v>
      </c>
      <c r="V16" s="39" t="s">
        <v>155</v>
      </c>
      <c r="W16" s="39" t="s">
        <v>156</v>
      </c>
      <c r="X16" s="43"/>
      <c r="Y16" s="44"/>
      <c r="Z16" s="44"/>
      <c r="AA16" s="44"/>
      <c r="AB16" s="44"/>
      <c r="AC16" s="44"/>
      <c r="AD16" s="44"/>
      <c r="AE16" s="44"/>
      <c r="AF16" s="44"/>
      <c r="AG16" s="44"/>
      <c r="AH16" s="44"/>
      <c r="AI16" s="44"/>
      <c r="AJ16" s="44"/>
      <c r="AK16" s="44"/>
      <c r="AL16" s="44"/>
    </row>
    <row r="17">
      <c r="A17" s="34" t="b">
        <v>0</v>
      </c>
      <c r="B17" s="35">
        <v>45345.0</v>
      </c>
      <c r="C17" s="18" t="s">
        <v>157</v>
      </c>
      <c r="D17" s="37" t="s">
        <v>192</v>
      </c>
      <c r="E17" s="37" t="s">
        <v>193</v>
      </c>
      <c r="F17" s="37" t="s">
        <v>156</v>
      </c>
      <c r="G17" s="38">
        <v>1331100.0</v>
      </c>
      <c r="H17" s="39" t="s">
        <v>194</v>
      </c>
      <c r="I17" s="39">
        <v>5.0</v>
      </c>
      <c r="J17" s="38">
        <f t="shared" si="7"/>
        <v>66555</v>
      </c>
      <c r="K17" s="38">
        <f t="shared" si="2"/>
        <v>3327.75</v>
      </c>
      <c r="L17" s="39">
        <v>25.0</v>
      </c>
      <c r="M17" s="38">
        <f t="shared" si="6"/>
        <v>16638.75</v>
      </c>
      <c r="N17" s="38"/>
      <c r="O17" s="38"/>
      <c r="P17" s="38"/>
      <c r="Q17" s="40">
        <f t="shared" ref="Q17:Q18" si="11">J17-M17</f>
        <v>49916.25</v>
      </c>
      <c r="R17" s="39"/>
      <c r="S17" s="39"/>
      <c r="T17" s="39" t="s">
        <v>143</v>
      </c>
      <c r="U17" s="39" t="s">
        <v>155</v>
      </c>
      <c r="V17" s="39" t="s">
        <v>156</v>
      </c>
      <c r="W17" s="39" t="s">
        <v>156</v>
      </c>
      <c r="X17" s="43"/>
      <c r="Y17" s="44"/>
      <c r="Z17" s="44"/>
      <c r="AA17" s="44"/>
      <c r="AB17" s="44"/>
      <c r="AC17" s="44"/>
      <c r="AD17" s="44"/>
      <c r="AE17" s="44"/>
      <c r="AF17" s="44"/>
      <c r="AG17" s="44"/>
      <c r="AH17" s="44"/>
      <c r="AI17" s="44"/>
      <c r="AJ17" s="44"/>
      <c r="AK17" s="44"/>
      <c r="AL17" s="44"/>
    </row>
    <row r="18">
      <c r="A18" s="34" t="b">
        <v>0</v>
      </c>
      <c r="B18" s="35">
        <v>45349.0</v>
      </c>
      <c r="C18" s="18" t="s">
        <v>157</v>
      </c>
      <c r="D18" s="37" t="s">
        <v>195</v>
      </c>
      <c r="E18" s="37" t="s">
        <v>184</v>
      </c>
      <c r="F18" s="37" t="s">
        <v>156</v>
      </c>
      <c r="G18" s="38">
        <v>955045.0</v>
      </c>
      <c r="H18" s="39" t="s">
        <v>161</v>
      </c>
      <c r="I18" s="39">
        <v>8.0</v>
      </c>
      <c r="J18" s="38">
        <f t="shared" si="7"/>
        <v>76403.6</v>
      </c>
      <c r="K18" s="38">
        <f t="shared" si="2"/>
        <v>3820.18</v>
      </c>
      <c r="L18" s="39">
        <v>0.0</v>
      </c>
      <c r="M18" s="38">
        <f t="shared" si="6"/>
        <v>0</v>
      </c>
      <c r="N18" s="38" t="s">
        <v>156</v>
      </c>
      <c r="O18" s="38"/>
      <c r="P18" s="38"/>
      <c r="Q18" s="40">
        <f t="shared" si="11"/>
        <v>76403.6</v>
      </c>
      <c r="R18" s="39"/>
      <c r="S18" s="39"/>
      <c r="T18" s="39" t="s">
        <v>143</v>
      </c>
      <c r="U18" s="39" t="s">
        <v>156</v>
      </c>
      <c r="V18" s="39" t="s">
        <v>156</v>
      </c>
      <c r="W18" s="39" t="s">
        <v>156</v>
      </c>
      <c r="X18" s="43"/>
      <c r="Y18" s="44"/>
      <c r="Z18" s="44"/>
      <c r="AA18" s="44"/>
      <c r="AB18" s="44"/>
      <c r="AC18" s="44"/>
      <c r="AD18" s="44"/>
      <c r="AE18" s="44"/>
      <c r="AF18" s="44"/>
      <c r="AG18" s="44"/>
      <c r="AH18" s="44"/>
      <c r="AI18" s="44"/>
      <c r="AJ18" s="44"/>
      <c r="AK18" s="44"/>
      <c r="AL18" s="44"/>
    </row>
    <row r="19">
      <c r="A19" s="34" t="b">
        <v>0</v>
      </c>
      <c r="B19" s="35">
        <v>45366.0</v>
      </c>
      <c r="C19" s="18" t="s">
        <v>157</v>
      </c>
      <c r="D19" s="37" t="s">
        <v>196</v>
      </c>
      <c r="E19" s="37" t="s">
        <v>159</v>
      </c>
      <c r="F19" s="37" t="s">
        <v>197</v>
      </c>
      <c r="G19" s="38">
        <v>2588205.0</v>
      </c>
      <c r="H19" s="39" t="s">
        <v>198</v>
      </c>
      <c r="I19" s="39">
        <v>8.0</v>
      </c>
      <c r="J19" s="38">
        <f t="shared" si="7"/>
        <v>207056.4</v>
      </c>
      <c r="K19" s="38">
        <f t="shared" si="2"/>
        <v>10352.82</v>
      </c>
      <c r="L19" s="39">
        <v>12.5</v>
      </c>
      <c r="M19" s="38">
        <f>(J19-N19)*0.25</f>
        <v>25882.05</v>
      </c>
      <c r="N19" s="38">
        <f>J19*0.5</f>
        <v>103528.2</v>
      </c>
      <c r="O19" s="38"/>
      <c r="P19" s="38"/>
      <c r="Q19" s="40">
        <f t="shared" ref="Q19:Q20" si="12">J19-M19-N19</f>
        <v>77646.15</v>
      </c>
      <c r="R19" s="39"/>
      <c r="S19" s="39"/>
      <c r="T19" s="39" t="s">
        <v>143</v>
      </c>
      <c r="U19" s="39" t="s">
        <v>155</v>
      </c>
      <c r="V19" s="39" t="s">
        <v>155</v>
      </c>
      <c r="W19" s="39" t="s">
        <v>156</v>
      </c>
      <c r="X19" s="45" t="s">
        <v>0</v>
      </c>
      <c r="Y19" s="44"/>
      <c r="Z19" s="44"/>
      <c r="AA19" s="44"/>
      <c r="AB19" s="44"/>
      <c r="AC19" s="44"/>
      <c r="AD19" s="44"/>
      <c r="AE19" s="44"/>
      <c r="AF19" s="44"/>
      <c r="AG19" s="44"/>
      <c r="AH19" s="44"/>
      <c r="AI19" s="44"/>
      <c r="AJ19" s="44"/>
      <c r="AK19" s="44"/>
      <c r="AL19" s="44"/>
    </row>
    <row r="20">
      <c r="A20" s="34" t="b">
        <v>0</v>
      </c>
      <c r="B20" s="49">
        <v>45371.0</v>
      </c>
      <c r="C20" s="18" t="s">
        <v>150</v>
      </c>
      <c r="D20" s="37" t="s">
        <v>199</v>
      </c>
      <c r="E20" s="37" t="s">
        <v>200</v>
      </c>
      <c r="F20" s="37" t="s">
        <v>201</v>
      </c>
      <c r="G20" s="38">
        <v>891417.0</v>
      </c>
      <c r="H20" s="39" t="s">
        <v>185</v>
      </c>
      <c r="I20" s="39">
        <v>4.0</v>
      </c>
      <c r="J20" s="38">
        <f t="shared" si="7"/>
        <v>35656.68</v>
      </c>
      <c r="K20" s="38">
        <f t="shared" si="2"/>
        <v>1782.834</v>
      </c>
      <c r="L20" s="39">
        <v>80.0</v>
      </c>
      <c r="M20" s="38">
        <f t="shared" ref="M20:M278" si="13">(J20*L20)/100</f>
        <v>28525.344</v>
      </c>
      <c r="N20" s="38">
        <v>356.0</v>
      </c>
      <c r="O20" s="38"/>
      <c r="P20" s="38"/>
      <c r="Q20" s="40">
        <f t="shared" si="12"/>
        <v>6775.336</v>
      </c>
      <c r="R20" s="39"/>
      <c r="S20" s="39"/>
      <c r="T20" s="39" t="s">
        <v>143</v>
      </c>
      <c r="U20" s="39" t="s">
        <v>155</v>
      </c>
      <c r="V20" s="39" t="s">
        <v>155</v>
      </c>
      <c r="W20" s="39" t="s">
        <v>156</v>
      </c>
      <c r="X20" s="43"/>
      <c r="Y20" s="44"/>
      <c r="Z20" s="44"/>
      <c r="AA20" s="44"/>
      <c r="AB20" s="44"/>
      <c r="AC20" s="44"/>
      <c r="AD20" s="44"/>
      <c r="AE20" s="44"/>
      <c r="AF20" s="44"/>
      <c r="AG20" s="44"/>
      <c r="AH20" s="44"/>
      <c r="AI20" s="44"/>
      <c r="AJ20" s="44"/>
      <c r="AK20" s="44"/>
      <c r="AL20" s="44"/>
    </row>
    <row r="21">
      <c r="A21" s="34" t="b">
        <v>0</v>
      </c>
      <c r="B21" s="49">
        <v>45372.0</v>
      </c>
      <c r="C21" s="18" t="s">
        <v>150</v>
      </c>
      <c r="D21" s="37" t="s">
        <v>202</v>
      </c>
      <c r="E21" s="37" t="s">
        <v>203</v>
      </c>
      <c r="F21" s="37" t="s">
        <v>156</v>
      </c>
      <c r="G21" s="38">
        <v>1350000.0</v>
      </c>
      <c r="H21" s="39" t="s">
        <v>204</v>
      </c>
      <c r="I21" s="39">
        <v>5.0</v>
      </c>
      <c r="J21" s="38">
        <f t="shared" si="7"/>
        <v>67500</v>
      </c>
      <c r="K21" s="38">
        <f t="shared" si="2"/>
        <v>3375</v>
      </c>
      <c r="L21" s="39">
        <v>88.0</v>
      </c>
      <c r="M21" s="38">
        <f t="shared" si="13"/>
        <v>59400</v>
      </c>
      <c r="N21" s="38"/>
      <c r="O21" s="38"/>
      <c r="P21" s="38"/>
      <c r="Q21" s="40">
        <f t="shared" ref="Q21:Q22" si="14">J21-M21</f>
        <v>8100</v>
      </c>
      <c r="R21" s="39"/>
      <c r="S21" s="39"/>
      <c r="T21" s="39" t="s">
        <v>143</v>
      </c>
      <c r="U21" s="39" t="s">
        <v>205</v>
      </c>
      <c r="V21" s="39" t="s">
        <v>156</v>
      </c>
      <c r="W21" s="39" t="s">
        <v>156</v>
      </c>
      <c r="X21" s="43"/>
      <c r="Y21" s="44"/>
      <c r="Z21" s="44"/>
      <c r="AA21" s="44"/>
      <c r="AB21" s="44"/>
      <c r="AC21" s="44"/>
      <c r="AD21" s="44"/>
      <c r="AE21" s="44"/>
      <c r="AF21" s="44"/>
      <c r="AG21" s="44"/>
      <c r="AH21" s="44"/>
      <c r="AI21" s="44"/>
      <c r="AJ21" s="44"/>
      <c r="AK21" s="44"/>
      <c r="AL21" s="44"/>
    </row>
    <row r="22">
      <c r="A22" s="34" t="b">
        <v>0</v>
      </c>
      <c r="B22" s="46">
        <v>45372.0</v>
      </c>
      <c r="C22" s="18" t="s">
        <v>150</v>
      </c>
      <c r="D22" s="37" t="s">
        <v>206</v>
      </c>
      <c r="E22" s="37" t="s">
        <v>203</v>
      </c>
      <c r="F22" s="37" t="s">
        <v>156</v>
      </c>
      <c r="G22" s="38">
        <v>1498500.0</v>
      </c>
      <c r="H22" s="39" t="s">
        <v>204</v>
      </c>
      <c r="I22" s="39">
        <v>5.0</v>
      </c>
      <c r="J22" s="38">
        <f t="shared" si="7"/>
        <v>74925</v>
      </c>
      <c r="K22" s="38">
        <f t="shared" si="2"/>
        <v>3746.25</v>
      </c>
      <c r="L22" s="39">
        <v>88.0</v>
      </c>
      <c r="M22" s="38">
        <f t="shared" si="13"/>
        <v>65934</v>
      </c>
      <c r="N22" s="38"/>
      <c r="O22" s="38"/>
      <c r="P22" s="38"/>
      <c r="Q22" s="40">
        <f t="shared" si="14"/>
        <v>8991</v>
      </c>
      <c r="R22" s="39"/>
      <c r="S22" s="39"/>
      <c r="T22" s="39" t="s">
        <v>143</v>
      </c>
      <c r="U22" s="39" t="s">
        <v>205</v>
      </c>
      <c r="V22" s="39" t="s">
        <v>156</v>
      </c>
      <c r="W22" s="39" t="s">
        <v>156</v>
      </c>
      <c r="X22" s="43"/>
      <c r="Y22" s="44"/>
      <c r="Z22" s="44"/>
      <c r="AA22" s="44"/>
      <c r="AB22" s="44"/>
      <c r="AC22" s="44"/>
      <c r="AD22" s="44"/>
      <c r="AE22" s="44"/>
      <c r="AF22" s="44"/>
      <c r="AG22" s="44"/>
      <c r="AH22" s="44"/>
      <c r="AI22" s="44"/>
      <c r="AJ22" s="44"/>
      <c r="AK22" s="44"/>
      <c r="AL22" s="44"/>
    </row>
    <row r="23">
      <c r="A23" s="34" t="b">
        <v>0</v>
      </c>
      <c r="B23" s="35">
        <v>45376.0</v>
      </c>
      <c r="C23" s="18" t="s">
        <v>150</v>
      </c>
      <c r="D23" s="37" t="s">
        <v>207</v>
      </c>
      <c r="E23" s="37" t="s">
        <v>208</v>
      </c>
      <c r="F23" s="37" t="s">
        <v>153</v>
      </c>
      <c r="G23" s="38">
        <v>3870154.0</v>
      </c>
      <c r="H23" s="39" t="s">
        <v>209</v>
      </c>
      <c r="I23" s="39">
        <v>4.0</v>
      </c>
      <c r="J23" s="38">
        <f t="shared" si="7"/>
        <v>154806.16</v>
      </c>
      <c r="K23" s="38">
        <f t="shared" si="2"/>
        <v>7740.308</v>
      </c>
      <c r="L23" s="39">
        <v>80.0</v>
      </c>
      <c r="M23" s="38">
        <f t="shared" si="13"/>
        <v>123844.928</v>
      </c>
      <c r="N23" s="38">
        <f>(J23-M23)*0.25</f>
        <v>7740.308</v>
      </c>
      <c r="O23" s="38"/>
      <c r="P23" s="38"/>
      <c r="Q23" s="40">
        <f>J23-M23-N23</f>
        <v>23220.924</v>
      </c>
      <c r="R23" s="39"/>
      <c r="S23" s="39"/>
      <c r="T23" s="39" t="s">
        <v>143</v>
      </c>
      <c r="U23" s="39" t="s">
        <v>210</v>
      </c>
      <c r="V23" s="39" t="s">
        <v>211</v>
      </c>
      <c r="W23" s="39" t="s">
        <v>212</v>
      </c>
      <c r="X23" s="43"/>
      <c r="Y23" s="44"/>
      <c r="Z23" s="44"/>
      <c r="AA23" s="44"/>
      <c r="AB23" s="44"/>
      <c r="AC23" s="44"/>
      <c r="AD23" s="44"/>
      <c r="AE23" s="44"/>
      <c r="AF23" s="44"/>
      <c r="AG23" s="44"/>
      <c r="AH23" s="44"/>
      <c r="AI23" s="44"/>
      <c r="AJ23" s="44"/>
      <c r="AK23" s="44"/>
      <c r="AL23" s="44"/>
    </row>
    <row r="24" hidden="1">
      <c r="A24" s="34" t="b">
        <v>0</v>
      </c>
      <c r="B24" s="35">
        <v>45380.0</v>
      </c>
      <c r="C24" s="18" t="s">
        <v>157</v>
      </c>
      <c r="D24" s="37" t="s">
        <v>213</v>
      </c>
      <c r="E24" s="37" t="s">
        <v>214</v>
      </c>
      <c r="F24" s="37" t="s">
        <v>156</v>
      </c>
      <c r="G24" s="38">
        <v>9843875.0</v>
      </c>
      <c r="H24" s="39" t="s">
        <v>215</v>
      </c>
      <c r="I24" s="39">
        <v>5.0</v>
      </c>
      <c r="J24" s="38">
        <f t="shared" si="7"/>
        <v>492193.75</v>
      </c>
      <c r="K24" s="38">
        <f t="shared" si="2"/>
        <v>24609.6875</v>
      </c>
      <c r="L24" s="39">
        <v>50.0</v>
      </c>
      <c r="M24" s="38">
        <f t="shared" si="13"/>
        <v>246096.875</v>
      </c>
      <c r="N24" s="38" t="s">
        <v>156</v>
      </c>
      <c r="O24" s="38"/>
      <c r="P24" s="38"/>
      <c r="Q24" s="40">
        <f>J24-M24</f>
        <v>246096.875</v>
      </c>
      <c r="R24" s="39"/>
      <c r="S24" s="49">
        <v>45471.0</v>
      </c>
      <c r="T24" s="39" t="s">
        <v>216</v>
      </c>
      <c r="U24" s="47"/>
      <c r="V24" s="47"/>
      <c r="W24" s="47"/>
      <c r="X24" s="45" t="s">
        <v>2</v>
      </c>
      <c r="Y24" s="44"/>
      <c r="Z24" s="44"/>
      <c r="AA24" s="44"/>
      <c r="AB24" s="44"/>
      <c r="AC24" s="44"/>
      <c r="AD24" s="44"/>
      <c r="AE24" s="44"/>
      <c r="AF24" s="44"/>
      <c r="AG24" s="44"/>
      <c r="AH24" s="44"/>
      <c r="AI24" s="44"/>
      <c r="AJ24" s="44"/>
      <c r="AK24" s="44"/>
      <c r="AL24" s="44"/>
    </row>
    <row r="25">
      <c r="A25" s="34" t="b">
        <v>0</v>
      </c>
      <c r="B25" s="35">
        <v>45405.0</v>
      </c>
      <c r="C25" s="18" t="s">
        <v>150</v>
      </c>
      <c r="D25" s="37" t="s">
        <v>217</v>
      </c>
      <c r="E25" s="37" t="s">
        <v>200</v>
      </c>
      <c r="F25" s="37" t="s">
        <v>201</v>
      </c>
      <c r="G25" s="38">
        <v>3600000.0</v>
      </c>
      <c r="H25" s="39" t="s">
        <v>218</v>
      </c>
      <c r="I25" s="39">
        <v>4.0</v>
      </c>
      <c r="J25" s="38">
        <f t="shared" si="7"/>
        <v>144000</v>
      </c>
      <c r="K25" s="38">
        <f t="shared" si="2"/>
        <v>7200</v>
      </c>
      <c r="L25" s="39">
        <v>80.0</v>
      </c>
      <c r="M25" s="38">
        <f t="shared" si="13"/>
        <v>115200</v>
      </c>
      <c r="N25" s="38">
        <f>J25*0.09</f>
        <v>12960</v>
      </c>
      <c r="O25" s="38"/>
      <c r="P25" s="38"/>
      <c r="Q25" s="40">
        <f t="shared" ref="Q25:Q26" si="15">J25-M25-N25</f>
        <v>15840</v>
      </c>
      <c r="R25" s="39"/>
      <c r="S25" s="39"/>
      <c r="T25" s="39" t="s">
        <v>143</v>
      </c>
      <c r="U25" s="47"/>
      <c r="V25" s="47"/>
      <c r="W25" s="47"/>
      <c r="X25" s="43"/>
      <c r="Y25" s="44"/>
      <c r="Z25" s="44"/>
      <c r="AA25" s="44"/>
      <c r="AB25" s="44"/>
      <c r="AC25" s="44"/>
      <c r="AD25" s="44"/>
      <c r="AE25" s="44"/>
      <c r="AF25" s="44"/>
      <c r="AG25" s="44"/>
      <c r="AH25" s="44"/>
      <c r="AI25" s="44"/>
      <c r="AJ25" s="44"/>
      <c r="AK25" s="44"/>
      <c r="AL25" s="44"/>
    </row>
    <row r="26">
      <c r="A26" s="34" t="b">
        <v>0</v>
      </c>
      <c r="B26" s="35">
        <v>45407.0</v>
      </c>
      <c r="C26" s="18" t="s">
        <v>219</v>
      </c>
      <c r="D26" s="37" t="s">
        <v>220</v>
      </c>
      <c r="E26" s="37" t="s">
        <v>221</v>
      </c>
      <c r="F26" s="37" t="s">
        <v>222</v>
      </c>
      <c r="G26" s="38">
        <v>3712239.0</v>
      </c>
      <c r="H26" s="39" t="s">
        <v>223</v>
      </c>
      <c r="I26" s="39">
        <v>5.0</v>
      </c>
      <c r="J26" s="38">
        <f t="shared" si="7"/>
        <v>185611.95</v>
      </c>
      <c r="K26" s="38">
        <f t="shared" si="2"/>
        <v>9280.5975</v>
      </c>
      <c r="L26" s="39">
        <v>83.0</v>
      </c>
      <c r="M26" s="38">
        <f t="shared" si="13"/>
        <v>154057.9185</v>
      </c>
      <c r="N26" s="38">
        <f>J26*0.05</f>
        <v>9280.5975</v>
      </c>
      <c r="O26" s="38"/>
      <c r="P26" s="38"/>
      <c r="Q26" s="40">
        <f t="shared" si="15"/>
        <v>22273.434</v>
      </c>
      <c r="R26" s="39"/>
      <c r="S26" s="39"/>
      <c r="T26" s="39" t="s">
        <v>143</v>
      </c>
      <c r="U26" s="39" t="s">
        <v>224</v>
      </c>
      <c r="V26" s="47"/>
      <c r="W26" s="39" t="s">
        <v>225</v>
      </c>
      <c r="X26" s="43"/>
      <c r="Y26" s="44"/>
      <c r="Z26" s="44"/>
      <c r="AA26" s="44"/>
      <c r="AB26" s="44"/>
      <c r="AC26" s="44"/>
      <c r="AD26" s="44"/>
      <c r="AE26" s="44"/>
      <c r="AF26" s="44"/>
      <c r="AG26" s="44"/>
      <c r="AH26" s="44"/>
      <c r="AI26" s="44"/>
      <c r="AJ26" s="44"/>
      <c r="AK26" s="44"/>
      <c r="AL26" s="44"/>
    </row>
    <row r="27">
      <c r="A27" s="34" t="b">
        <v>0</v>
      </c>
      <c r="B27" s="35">
        <v>45412.0</v>
      </c>
      <c r="C27" s="18" t="s">
        <v>157</v>
      </c>
      <c r="D27" s="37" t="s">
        <v>226</v>
      </c>
      <c r="E27" s="37" t="s">
        <v>184</v>
      </c>
      <c r="F27" s="37" t="s">
        <v>156</v>
      </c>
      <c r="G27" s="38">
        <v>2000000.0</v>
      </c>
      <c r="H27" s="39" t="s">
        <v>227</v>
      </c>
      <c r="I27" s="39">
        <v>5.0</v>
      </c>
      <c r="J27" s="38">
        <f t="shared" si="7"/>
        <v>100000</v>
      </c>
      <c r="K27" s="38">
        <f t="shared" si="2"/>
        <v>5000</v>
      </c>
      <c r="L27" s="39">
        <v>0.0</v>
      </c>
      <c r="M27" s="38">
        <f t="shared" si="13"/>
        <v>0</v>
      </c>
      <c r="N27" s="38" t="s">
        <v>156</v>
      </c>
      <c r="O27" s="38"/>
      <c r="P27" s="38"/>
      <c r="Q27" s="40">
        <f>J27-M27</f>
        <v>100000</v>
      </c>
      <c r="R27" s="49">
        <v>45573.0</v>
      </c>
      <c r="S27" s="39"/>
      <c r="T27" s="39" t="s">
        <v>228</v>
      </c>
      <c r="U27" s="50"/>
      <c r="V27" s="51"/>
      <c r="W27" s="51"/>
      <c r="X27" s="52"/>
      <c r="Y27" s="44"/>
      <c r="Z27" s="44"/>
      <c r="AA27" s="44"/>
      <c r="AB27" s="44"/>
      <c r="AC27" s="44"/>
      <c r="AD27" s="44"/>
      <c r="AE27" s="44"/>
      <c r="AF27" s="44"/>
      <c r="AG27" s="44"/>
      <c r="AH27" s="44"/>
      <c r="AI27" s="44"/>
      <c r="AJ27" s="44"/>
      <c r="AK27" s="44"/>
      <c r="AL27" s="44"/>
    </row>
    <row r="28">
      <c r="A28" s="34" t="b">
        <v>0</v>
      </c>
      <c r="B28" s="35">
        <v>45417.0</v>
      </c>
      <c r="C28" s="18" t="s">
        <v>150</v>
      </c>
      <c r="D28" s="37" t="s">
        <v>229</v>
      </c>
      <c r="E28" s="37" t="s">
        <v>200</v>
      </c>
      <c r="F28" s="37" t="s">
        <v>201</v>
      </c>
      <c r="G28" s="38">
        <v>1334000.0</v>
      </c>
      <c r="H28" s="39" t="s">
        <v>230</v>
      </c>
      <c r="I28" s="39">
        <v>5.0</v>
      </c>
      <c r="J28" s="38">
        <f t="shared" si="7"/>
        <v>66700</v>
      </c>
      <c r="K28" s="38">
        <f t="shared" si="2"/>
        <v>3335</v>
      </c>
      <c r="L28" s="39">
        <v>83.0</v>
      </c>
      <c r="M28" s="38">
        <f t="shared" si="13"/>
        <v>55361</v>
      </c>
      <c r="N28" s="38">
        <v>800.0</v>
      </c>
      <c r="O28" s="38"/>
      <c r="P28" s="38"/>
      <c r="Q28" s="40">
        <f>J28-M28-N28</f>
        <v>10539</v>
      </c>
      <c r="R28" s="39"/>
      <c r="S28" s="39"/>
      <c r="T28" s="39" t="s">
        <v>143</v>
      </c>
      <c r="U28" s="39" t="s">
        <v>231</v>
      </c>
      <c r="V28" s="39" t="s">
        <v>155</v>
      </c>
      <c r="W28" s="47"/>
      <c r="X28" s="45" t="s">
        <v>2</v>
      </c>
      <c r="Y28" s="53"/>
      <c r="Z28" s="53"/>
      <c r="AA28" s="53"/>
      <c r="AB28" s="53"/>
      <c r="AC28" s="53"/>
      <c r="AD28" s="53"/>
      <c r="AE28" s="53"/>
      <c r="AF28" s="53"/>
      <c r="AG28" s="53"/>
      <c r="AH28" s="53"/>
      <c r="AI28" s="53"/>
      <c r="AJ28" s="53"/>
      <c r="AK28" s="53"/>
      <c r="AL28" s="53"/>
    </row>
    <row r="29">
      <c r="A29" s="34" t="b">
        <v>0</v>
      </c>
      <c r="B29" s="35">
        <v>45418.0</v>
      </c>
      <c r="C29" s="18" t="s">
        <v>150</v>
      </c>
      <c r="D29" s="37" t="s">
        <v>232</v>
      </c>
      <c r="E29" s="37" t="s">
        <v>233</v>
      </c>
      <c r="F29" s="37" t="s">
        <v>156</v>
      </c>
      <c r="G29" s="38">
        <v>1150909.0</v>
      </c>
      <c r="H29" s="39" t="s">
        <v>234</v>
      </c>
      <c r="I29" s="39">
        <v>5.0</v>
      </c>
      <c r="J29" s="38">
        <f t="shared" si="7"/>
        <v>57545.45</v>
      </c>
      <c r="K29" s="38">
        <f t="shared" si="2"/>
        <v>2877.2725</v>
      </c>
      <c r="L29" s="39">
        <v>88.0</v>
      </c>
      <c r="M29" s="38">
        <f t="shared" si="13"/>
        <v>50639.996</v>
      </c>
      <c r="N29" s="38" t="s">
        <v>156</v>
      </c>
      <c r="O29" s="38"/>
      <c r="P29" s="38"/>
      <c r="Q29" s="40">
        <f>J29-M29</f>
        <v>6905.454</v>
      </c>
      <c r="R29" s="39"/>
      <c r="S29" s="39"/>
      <c r="T29" s="39" t="s">
        <v>143</v>
      </c>
      <c r="U29" s="47"/>
      <c r="V29" s="47"/>
      <c r="W29" s="47"/>
      <c r="X29" s="43"/>
      <c r="Y29" s="44"/>
      <c r="Z29" s="44"/>
      <c r="AA29" s="44"/>
      <c r="AB29" s="44"/>
      <c r="AC29" s="44"/>
      <c r="AD29" s="44"/>
      <c r="AE29" s="44"/>
      <c r="AF29" s="44"/>
      <c r="AG29" s="44"/>
      <c r="AH29" s="44"/>
      <c r="AI29" s="44"/>
      <c r="AJ29" s="44"/>
      <c r="AK29" s="44"/>
      <c r="AL29" s="44"/>
    </row>
    <row r="30">
      <c r="A30" s="34" t="b">
        <v>0</v>
      </c>
      <c r="B30" s="35">
        <v>45420.0</v>
      </c>
      <c r="C30" s="18" t="s">
        <v>150</v>
      </c>
      <c r="D30" s="37" t="s">
        <v>235</v>
      </c>
      <c r="E30" s="37" t="s">
        <v>236</v>
      </c>
      <c r="F30" s="37" t="s">
        <v>237</v>
      </c>
      <c r="G30" s="38">
        <v>886875.44</v>
      </c>
      <c r="H30" s="39" t="s">
        <v>238</v>
      </c>
      <c r="I30" s="39">
        <v>5.0</v>
      </c>
      <c r="J30" s="38">
        <f t="shared" si="7"/>
        <v>44343.772</v>
      </c>
      <c r="K30" s="38">
        <f t="shared" si="2"/>
        <v>2217.1886</v>
      </c>
      <c r="L30" s="39">
        <v>88.0</v>
      </c>
      <c r="M30" s="38">
        <f t="shared" si="13"/>
        <v>39022.51936</v>
      </c>
      <c r="N30" s="38">
        <v>0.0</v>
      </c>
      <c r="O30" s="38">
        <f>J30*0.01</f>
        <v>443.43772</v>
      </c>
      <c r="P30" s="38"/>
      <c r="Q30" s="40">
        <f t="shared" ref="Q30:Q40" si="16">J30-M30-N30</f>
        <v>5321.25264</v>
      </c>
      <c r="R30" s="39"/>
      <c r="S30" s="39"/>
      <c r="T30" s="39" t="s">
        <v>239</v>
      </c>
      <c r="U30" s="54" t="s">
        <v>240</v>
      </c>
      <c r="V30" s="47"/>
      <c r="W30" s="47"/>
      <c r="X30" s="43"/>
      <c r="Y30" s="44"/>
      <c r="Z30" s="44"/>
      <c r="AA30" s="44"/>
      <c r="AB30" s="44"/>
      <c r="AC30" s="44"/>
      <c r="AD30" s="44"/>
      <c r="AE30" s="44"/>
      <c r="AF30" s="44"/>
      <c r="AG30" s="44"/>
      <c r="AH30" s="44"/>
      <c r="AI30" s="44"/>
      <c r="AJ30" s="44"/>
      <c r="AK30" s="44"/>
      <c r="AL30" s="44"/>
    </row>
    <row r="31">
      <c r="A31" s="34" t="b">
        <v>0</v>
      </c>
      <c r="B31" s="35">
        <v>45421.0</v>
      </c>
      <c r="C31" s="18" t="s">
        <v>150</v>
      </c>
      <c r="D31" s="37" t="s">
        <v>241</v>
      </c>
      <c r="E31" s="37" t="s">
        <v>200</v>
      </c>
      <c r="F31" s="37" t="s">
        <v>201</v>
      </c>
      <c r="G31" s="38">
        <v>746090.74</v>
      </c>
      <c r="H31" s="39" t="s">
        <v>242</v>
      </c>
      <c r="I31" s="39">
        <v>3.0</v>
      </c>
      <c r="J31" s="38">
        <f t="shared" si="7"/>
        <v>22382.7222</v>
      </c>
      <c r="K31" s="38">
        <f t="shared" si="2"/>
        <v>1119.13611</v>
      </c>
      <c r="L31" s="39">
        <v>80.0</v>
      </c>
      <c r="M31" s="38">
        <f t="shared" si="13"/>
        <v>17906.17776</v>
      </c>
      <c r="N31" s="38">
        <v>223.0</v>
      </c>
      <c r="O31" s="38"/>
      <c r="P31" s="38"/>
      <c r="Q31" s="40">
        <f t="shared" si="16"/>
        <v>4253.54444</v>
      </c>
      <c r="R31" s="39"/>
      <c r="S31" s="39"/>
      <c r="T31" s="39" t="s">
        <v>143</v>
      </c>
      <c r="U31" s="39" t="s">
        <v>231</v>
      </c>
      <c r="V31" s="39" t="s">
        <v>155</v>
      </c>
      <c r="W31" s="47"/>
      <c r="X31" s="45" t="s">
        <v>44</v>
      </c>
      <c r="Y31" s="44"/>
      <c r="Z31" s="44"/>
      <c r="AA31" s="44"/>
      <c r="AB31" s="44"/>
      <c r="AC31" s="44"/>
      <c r="AD31" s="44"/>
      <c r="AE31" s="44"/>
      <c r="AF31" s="44"/>
      <c r="AG31" s="44"/>
      <c r="AH31" s="44"/>
      <c r="AI31" s="44"/>
      <c r="AJ31" s="44"/>
      <c r="AK31" s="44"/>
      <c r="AL31" s="44"/>
    </row>
    <row r="32">
      <c r="A32" s="34" t="b">
        <v>0</v>
      </c>
      <c r="B32" s="35">
        <v>45421.0</v>
      </c>
      <c r="C32" s="18" t="s">
        <v>150</v>
      </c>
      <c r="D32" s="37" t="s">
        <v>243</v>
      </c>
      <c r="E32" s="37" t="s">
        <v>200</v>
      </c>
      <c r="F32" s="37" t="s">
        <v>201</v>
      </c>
      <c r="G32" s="38">
        <v>1398625.02</v>
      </c>
      <c r="H32" s="39" t="s">
        <v>242</v>
      </c>
      <c r="I32" s="39">
        <v>3.0</v>
      </c>
      <c r="J32" s="38">
        <f t="shared" si="7"/>
        <v>41958.7506</v>
      </c>
      <c r="K32" s="38">
        <f t="shared" si="2"/>
        <v>2097.93753</v>
      </c>
      <c r="L32" s="39">
        <v>80.0</v>
      </c>
      <c r="M32" s="38">
        <f t="shared" si="13"/>
        <v>33567.00048</v>
      </c>
      <c r="N32" s="38">
        <v>420.0</v>
      </c>
      <c r="O32" s="38"/>
      <c r="P32" s="38"/>
      <c r="Q32" s="40">
        <f t="shared" si="16"/>
        <v>7971.75012</v>
      </c>
      <c r="R32" s="39"/>
      <c r="S32" s="39"/>
      <c r="T32" s="39" t="s">
        <v>143</v>
      </c>
      <c r="U32" s="39" t="s">
        <v>231</v>
      </c>
      <c r="V32" s="39" t="s">
        <v>155</v>
      </c>
      <c r="W32" s="47"/>
      <c r="X32" s="43"/>
      <c r="Y32" s="44"/>
      <c r="Z32" s="44"/>
      <c r="AA32" s="44"/>
      <c r="AB32" s="44"/>
      <c r="AC32" s="44"/>
      <c r="AD32" s="44"/>
      <c r="AE32" s="44"/>
      <c r="AF32" s="44"/>
      <c r="AG32" s="44"/>
      <c r="AH32" s="44"/>
      <c r="AI32" s="44"/>
      <c r="AJ32" s="44"/>
      <c r="AK32" s="44"/>
      <c r="AL32" s="44"/>
    </row>
    <row r="33">
      <c r="A33" s="34" t="b">
        <v>0</v>
      </c>
      <c r="B33" s="35">
        <v>45422.0</v>
      </c>
      <c r="C33" s="18" t="s">
        <v>150</v>
      </c>
      <c r="D33" s="37" t="s">
        <v>244</v>
      </c>
      <c r="E33" s="37" t="s">
        <v>200</v>
      </c>
      <c r="F33" s="37" t="s">
        <v>201</v>
      </c>
      <c r="G33" s="38">
        <v>743153.37</v>
      </c>
      <c r="H33" s="39" t="s">
        <v>242</v>
      </c>
      <c r="I33" s="39">
        <v>3.0</v>
      </c>
      <c r="J33" s="38">
        <f t="shared" si="7"/>
        <v>22294.6011</v>
      </c>
      <c r="K33" s="38">
        <f t="shared" si="2"/>
        <v>1114.730055</v>
      </c>
      <c r="L33" s="39">
        <v>80.0</v>
      </c>
      <c r="M33" s="38">
        <f t="shared" si="13"/>
        <v>17835.68088</v>
      </c>
      <c r="N33" s="38">
        <v>223.0</v>
      </c>
      <c r="O33" s="38"/>
      <c r="P33" s="38"/>
      <c r="Q33" s="40">
        <f t="shared" si="16"/>
        <v>4235.92022</v>
      </c>
      <c r="R33" s="39"/>
      <c r="S33" s="39"/>
      <c r="T33" s="39" t="s">
        <v>143</v>
      </c>
      <c r="U33" s="39" t="s">
        <v>231</v>
      </c>
      <c r="V33" s="39" t="s">
        <v>155</v>
      </c>
      <c r="W33" s="47"/>
      <c r="X33" s="43"/>
      <c r="Y33" s="44"/>
      <c r="Z33" s="44"/>
      <c r="AA33" s="44"/>
      <c r="AB33" s="44"/>
      <c r="AC33" s="44"/>
      <c r="AD33" s="44"/>
      <c r="AE33" s="44"/>
      <c r="AF33" s="44"/>
      <c r="AG33" s="44"/>
      <c r="AH33" s="44"/>
      <c r="AI33" s="44"/>
      <c r="AJ33" s="44"/>
      <c r="AK33" s="44"/>
      <c r="AL33" s="44"/>
    </row>
    <row r="34">
      <c r="A34" s="34" t="b">
        <v>0</v>
      </c>
      <c r="B34" s="35">
        <v>45439.0</v>
      </c>
      <c r="C34" s="18" t="s">
        <v>157</v>
      </c>
      <c r="D34" s="37" t="s">
        <v>245</v>
      </c>
      <c r="E34" s="37" t="s">
        <v>187</v>
      </c>
      <c r="F34" s="37" t="s">
        <v>156</v>
      </c>
      <c r="G34" s="38">
        <v>5253624.6</v>
      </c>
      <c r="H34" s="39" t="s">
        <v>246</v>
      </c>
      <c r="I34" s="39">
        <v>3.0</v>
      </c>
      <c r="J34" s="38">
        <f t="shared" si="7"/>
        <v>157608.738</v>
      </c>
      <c r="K34" s="38">
        <f t="shared" si="2"/>
        <v>7880.4369</v>
      </c>
      <c r="L34" s="39">
        <v>75.0</v>
      </c>
      <c r="M34" s="38">
        <f t="shared" si="13"/>
        <v>118206.5535</v>
      </c>
      <c r="N34" s="38">
        <v>0.0</v>
      </c>
      <c r="O34" s="38"/>
      <c r="P34" s="38"/>
      <c r="Q34" s="40">
        <f t="shared" si="16"/>
        <v>39402.1845</v>
      </c>
      <c r="R34" s="39"/>
      <c r="S34" s="39"/>
      <c r="T34" s="39" t="s">
        <v>143</v>
      </c>
      <c r="U34" s="47"/>
      <c r="V34" s="47"/>
      <c r="W34" s="47"/>
      <c r="X34" s="43"/>
      <c r="Y34" s="44"/>
      <c r="Z34" s="44"/>
      <c r="AA34" s="44"/>
      <c r="AB34" s="44"/>
      <c r="AC34" s="44"/>
      <c r="AD34" s="44"/>
      <c r="AE34" s="44"/>
      <c r="AF34" s="44"/>
      <c r="AG34" s="44"/>
      <c r="AH34" s="44"/>
      <c r="AI34" s="44"/>
      <c r="AJ34" s="44"/>
      <c r="AK34" s="44"/>
      <c r="AL34" s="44"/>
    </row>
    <row r="35">
      <c r="A35" s="34" t="b">
        <v>0</v>
      </c>
      <c r="B35" s="35">
        <v>45441.0</v>
      </c>
      <c r="C35" s="18" t="s">
        <v>157</v>
      </c>
      <c r="D35" s="37" t="s">
        <v>247</v>
      </c>
      <c r="E35" s="37" t="s">
        <v>184</v>
      </c>
      <c r="F35" s="37" t="s">
        <v>156</v>
      </c>
      <c r="G35" s="38">
        <v>8971155.0</v>
      </c>
      <c r="H35" s="39" t="s">
        <v>185</v>
      </c>
      <c r="I35" s="39">
        <v>3.0</v>
      </c>
      <c r="J35" s="38">
        <f t="shared" si="7"/>
        <v>269134.65</v>
      </c>
      <c r="K35" s="38">
        <f t="shared" si="2"/>
        <v>13456.7325</v>
      </c>
      <c r="L35" s="39">
        <v>0.0</v>
      </c>
      <c r="M35" s="38">
        <f t="shared" si="13"/>
        <v>0</v>
      </c>
      <c r="N35" s="38"/>
      <c r="O35" s="38"/>
      <c r="P35" s="38"/>
      <c r="Q35" s="40">
        <f t="shared" si="16"/>
        <v>269134.65</v>
      </c>
      <c r="R35" s="39"/>
      <c r="S35" s="39"/>
      <c r="T35" s="39" t="s">
        <v>143</v>
      </c>
      <c r="U35" s="39" t="s">
        <v>156</v>
      </c>
      <c r="V35" s="39" t="s">
        <v>156</v>
      </c>
      <c r="W35" s="39" t="s">
        <v>156</v>
      </c>
      <c r="X35" s="43"/>
      <c r="Y35" s="44"/>
      <c r="Z35" s="44"/>
      <c r="AA35" s="44"/>
      <c r="AB35" s="44"/>
      <c r="AC35" s="44"/>
      <c r="AD35" s="44"/>
      <c r="AE35" s="44"/>
      <c r="AF35" s="44"/>
      <c r="AG35" s="44"/>
      <c r="AH35" s="44"/>
      <c r="AI35" s="44"/>
      <c r="AJ35" s="44"/>
      <c r="AK35" s="44"/>
      <c r="AL35" s="44"/>
    </row>
    <row r="36">
      <c r="A36" s="34" t="b">
        <v>0</v>
      </c>
      <c r="B36" s="35">
        <v>45448.0</v>
      </c>
      <c r="C36" s="18" t="s">
        <v>150</v>
      </c>
      <c r="D36" s="37" t="s">
        <v>248</v>
      </c>
      <c r="E36" s="37" t="s">
        <v>249</v>
      </c>
      <c r="F36" s="37" t="s">
        <v>156</v>
      </c>
      <c r="G36" s="38">
        <v>1202400.0</v>
      </c>
      <c r="H36" s="39" t="s">
        <v>250</v>
      </c>
      <c r="I36" s="39">
        <v>5.0</v>
      </c>
      <c r="J36" s="38">
        <f t="shared" si="7"/>
        <v>60120</v>
      </c>
      <c r="K36" s="38">
        <f t="shared" si="2"/>
        <v>3006</v>
      </c>
      <c r="L36" s="39">
        <v>88.0</v>
      </c>
      <c r="M36" s="38">
        <f t="shared" si="13"/>
        <v>52905.6</v>
      </c>
      <c r="N36" s="38"/>
      <c r="O36" s="38"/>
      <c r="P36" s="38"/>
      <c r="Q36" s="40">
        <f t="shared" si="16"/>
        <v>7214.4</v>
      </c>
      <c r="R36" s="39"/>
      <c r="S36" s="39"/>
      <c r="T36" s="39" t="s">
        <v>143</v>
      </c>
      <c r="U36" s="54" t="s">
        <v>251</v>
      </c>
      <c r="V36" s="47"/>
      <c r="W36" s="47"/>
      <c r="X36" s="45" t="s">
        <v>2</v>
      </c>
      <c r="Y36" s="44"/>
      <c r="Z36" s="44"/>
      <c r="AA36" s="44"/>
      <c r="AB36" s="44"/>
      <c r="AC36" s="44"/>
      <c r="AD36" s="44"/>
      <c r="AE36" s="44"/>
      <c r="AF36" s="44"/>
      <c r="AG36" s="44"/>
      <c r="AH36" s="44"/>
      <c r="AI36" s="44"/>
      <c r="AJ36" s="44"/>
      <c r="AK36" s="44"/>
      <c r="AL36" s="44"/>
    </row>
    <row r="37" hidden="1">
      <c r="A37" s="34" t="b">
        <v>0</v>
      </c>
      <c r="B37" s="35">
        <v>45453.0</v>
      </c>
      <c r="C37" s="18" t="s">
        <v>157</v>
      </c>
      <c r="D37" s="37" t="s">
        <v>252</v>
      </c>
      <c r="E37" s="37" t="s">
        <v>253</v>
      </c>
      <c r="F37" s="37" t="s">
        <v>159</v>
      </c>
      <c r="G37" s="38">
        <v>945053.0</v>
      </c>
      <c r="H37" s="39" t="s">
        <v>161</v>
      </c>
      <c r="I37" s="39">
        <v>7.0</v>
      </c>
      <c r="J37" s="38">
        <f t="shared" si="7"/>
        <v>66153.71</v>
      </c>
      <c r="K37" s="38">
        <f t="shared" si="2"/>
        <v>3307.6855</v>
      </c>
      <c r="L37" s="39">
        <v>50.0</v>
      </c>
      <c r="M37" s="38">
        <f t="shared" si="13"/>
        <v>33076.855</v>
      </c>
      <c r="N37" s="38">
        <f>(J37-M37)*0.25</f>
        <v>8269.21375</v>
      </c>
      <c r="O37" s="38"/>
      <c r="P37" s="38"/>
      <c r="Q37" s="40">
        <f t="shared" si="16"/>
        <v>24807.64125</v>
      </c>
      <c r="R37" s="39"/>
      <c r="S37" s="35">
        <v>45644.0</v>
      </c>
      <c r="T37" s="39" t="s">
        <v>254</v>
      </c>
      <c r="U37" s="51"/>
      <c r="V37" s="51"/>
      <c r="W37" s="51"/>
      <c r="X37" s="52"/>
      <c r="Y37" s="44"/>
      <c r="Z37" s="44"/>
      <c r="AA37" s="44"/>
      <c r="AB37" s="44"/>
      <c r="AC37" s="44"/>
      <c r="AD37" s="44"/>
      <c r="AE37" s="44"/>
      <c r="AF37" s="44"/>
      <c r="AG37" s="44"/>
      <c r="AH37" s="44"/>
      <c r="AI37" s="44"/>
      <c r="AJ37" s="44"/>
      <c r="AK37" s="44"/>
      <c r="AL37" s="44"/>
    </row>
    <row r="38">
      <c r="A38" s="34" t="b">
        <v>0</v>
      </c>
      <c r="B38" s="35">
        <v>45469.0</v>
      </c>
      <c r="C38" s="18" t="s">
        <v>150</v>
      </c>
      <c r="D38" s="37" t="s">
        <v>255</v>
      </c>
      <c r="E38" s="37" t="s">
        <v>256</v>
      </c>
      <c r="F38" s="37" t="s">
        <v>203</v>
      </c>
      <c r="G38" s="38">
        <v>591429.0</v>
      </c>
      <c r="H38" s="39" t="s">
        <v>257</v>
      </c>
      <c r="I38" s="39">
        <v>7.0</v>
      </c>
      <c r="J38" s="38">
        <f t="shared" si="7"/>
        <v>41400.03</v>
      </c>
      <c r="K38" s="38">
        <f t="shared" si="2"/>
        <v>2070.0015</v>
      </c>
      <c r="L38" s="39">
        <v>88.0</v>
      </c>
      <c r="M38" s="38">
        <f t="shared" si="13"/>
        <v>36432.0264</v>
      </c>
      <c r="N38" s="38">
        <f>J38*1%</f>
        <v>414.0003</v>
      </c>
      <c r="O38" s="38">
        <f>J38*0.01</f>
        <v>414.0003</v>
      </c>
      <c r="P38" s="38"/>
      <c r="Q38" s="40">
        <f t="shared" si="16"/>
        <v>4554.0033</v>
      </c>
      <c r="R38" s="39"/>
      <c r="S38" s="39"/>
      <c r="T38" s="39" t="s">
        <v>143</v>
      </c>
      <c r="U38" s="47"/>
      <c r="V38" s="47"/>
      <c r="W38" s="47"/>
      <c r="X38" s="45" t="s">
        <v>44</v>
      </c>
      <c r="Y38" s="53"/>
      <c r="Z38" s="53"/>
      <c r="AA38" s="53"/>
      <c r="AB38" s="53"/>
      <c r="AC38" s="53"/>
      <c r="AD38" s="53"/>
      <c r="AE38" s="53"/>
      <c r="AF38" s="53"/>
      <c r="AG38" s="53"/>
      <c r="AH38" s="53"/>
      <c r="AI38" s="53"/>
      <c r="AJ38" s="53"/>
      <c r="AK38" s="53"/>
      <c r="AL38" s="53"/>
    </row>
    <row r="39">
      <c r="A39" s="34" t="b">
        <v>0</v>
      </c>
      <c r="B39" s="35">
        <v>45470.0</v>
      </c>
      <c r="C39" s="18" t="s">
        <v>150</v>
      </c>
      <c r="D39" s="37" t="s">
        <v>258</v>
      </c>
      <c r="E39" s="37" t="s">
        <v>233</v>
      </c>
      <c r="F39" s="37" t="s">
        <v>156</v>
      </c>
      <c r="G39" s="38">
        <v>8880000.0</v>
      </c>
      <c r="H39" s="39" t="s">
        <v>259</v>
      </c>
      <c r="I39" s="39">
        <v>3.0</v>
      </c>
      <c r="J39" s="38">
        <f t="shared" si="7"/>
        <v>266400</v>
      </c>
      <c r="K39" s="38">
        <f t="shared" si="2"/>
        <v>13320</v>
      </c>
      <c r="L39" s="39">
        <v>88.0</v>
      </c>
      <c r="M39" s="38">
        <f t="shared" si="13"/>
        <v>234432</v>
      </c>
      <c r="N39" s="38">
        <f>J39*2.5%</f>
        <v>6660</v>
      </c>
      <c r="O39" s="38"/>
      <c r="P39" s="38"/>
      <c r="Q39" s="40">
        <f t="shared" si="16"/>
        <v>25308</v>
      </c>
      <c r="R39" s="39"/>
      <c r="S39" s="39"/>
      <c r="T39" s="39" t="s">
        <v>143</v>
      </c>
      <c r="U39" s="39" t="s">
        <v>260</v>
      </c>
      <c r="V39" s="39" t="s">
        <v>155</v>
      </c>
      <c r="W39" s="39" t="s">
        <v>155</v>
      </c>
      <c r="X39" s="43"/>
      <c r="Y39" s="44"/>
      <c r="Z39" s="44"/>
      <c r="AA39" s="44"/>
      <c r="AB39" s="44"/>
      <c r="AC39" s="44"/>
      <c r="AD39" s="44"/>
      <c r="AE39" s="44"/>
      <c r="AF39" s="44"/>
      <c r="AG39" s="44"/>
      <c r="AH39" s="44"/>
      <c r="AI39" s="44"/>
      <c r="AJ39" s="44"/>
      <c r="AK39" s="44"/>
      <c r="AL39" s="44"/>
    </row>
    <row r="40">
      <c r="A40" s="34" t="b">
        <v>0</v>
      </c>
      <c r="B40" s="35">
        <v>45472.0</v>
      </c>
      <c r="C40" s="18" t="s">
        <v>150</v>
      </c>
      <c r="D40" s="37" t="s">
        <v>261</v>
      </c>
      <c r="E40" s="37" t="s">
        <v>262</v>
      </c>
      <c r="F40" s="37" t="s">
        <v>263</v>
      </c>
      <c r="G40" s="38">
        <v>858888.0</v>
      </c>
      <c r="H40" s="39" t="s">
        <v>264</v>
      </c>
      <c r="I40" s="39">
        <v>4.0</v>
      </c>
      <c r="J40" s="38">
        <f t="shared" si="7"/>
        <v>34355.52</v>
      </c>
      <c r="K40" s="38">
        <f t="shared" si="2"/>
        <v>1717.776</v>
      </c>
      <c r="L40" s="39">
        <v>88.0</v>
      </c>
      <c r="M40" s="38">
        <f t="shared" si="13"/>
        <v>30232.8576</v>
      </c>
      <c r="N40" s="38">
        <f t="shared" ref="N40:N41" si="17">J40*0.015</f>
        <v>515.3328</v>
      </c>
      <c r="O40" s="38"/>
      <c r="P40" s="38"/>
      <c r="Q40" s="40">
        <f t="shared" si="16"/>
        <v>3607.3296</v>
      </c>
      <c r="R40" s="39"/>
      <c r="S40" s="39"/>
      <c r="T40" s="39" t="s">
        <v>265</v>
      </c>
      <c r="U40" s="47"/>
      <c r="V40" s="47"/>
      <c r="W40" s="47"/>
      <c r="X40" s="43"/>
      <c r="Y40" s="44"/>
      <c r="Z40" s="44"/>
      <c r="AA40" s="44"/>
      <c r="AB40" s="44"/>
      <c r="AC40" s="44"/>
      <c r="AD40" s="44"/>
      <c r="AE40" s="44"/>
      <c r="AF40" s="44"/>
      <c r="AG40" s="44"/>
      <c r="AH40" s="44"/>
      <c r="AI40" s="44"/>
      <c r="AJ40" s="44"/>
      <c r="AK40" s="44"/>
      <c r="AL40" s="44"/>
    </row>
    <row r="41">
      <c r="A41" s="34" t="b">
        <v>0</v>
      </c>
      <c r="B41" s="35">
        <v>45474.0</v>
      </c>
      <c r="C41" s="18" t="s">
        <v>150</v>
      </c>
      <c r="D41" s="37" t="s">
        <v>266</v>
      </c>
      <c r="E41" s="37" t="s">
        <v>262</v>
      </c>
      <c r="F41" s="37" t="s">
        <v>222</v>
      </c>
      <c r="G41" s="38">
        <v>995366.0</v>
      </c>
      <c r="H41" s="39" t="s">
        <v>267</v>
      </c>
      <c r="I41" s="39">
        <v>5.0</v>
      </c>
      <c r="J41" s="38">
        <f t="shared" si="7"/>
        <v>49768.3</v>
      </c>
      <c r="K41" s="38">
        <f t="shared" si="2"/>
        <v>2488.415</v>
      </c>
      <c r="L41" s="39">
        <v>88.0</v>
      </c>
      <c r="M41" s="38">
        <f t="shared" si="13"/>
        <v>43796.104</v>
      </c>
      <c r="N41" s="38">
        <f t="shared" si="17"/>
        <v>746.5245</v>
      </c>
      <c r="O41" s="38"/>
      <c r="P41" s="38">
        <f>J41*0.015</f>
        <v>746.5245</v>
      </c>
      <c r="Q41" s="40">
        <f>J41-M41-N41-P41</f>
        <v>4479.147</v>
      </c>
      <c r="R41" s="39"/>
      <c r="S41" s="39"/>
      <c r="T41" s="39" t="s">
        <v>268</v>
      </c>
      <c r="U41" s="39" t="s">
        <v>269</v>
      </c>
      <c r="V41" s="39" t="s">
        <v>155</v>
      </c>
      <c r="W41" s="39" t="s">
        <v>155</v>
      </c>
      <c r="X41" s="45" t="s">
        <v>222</v>
      </c>
      <c r="Y41" s="44"/>
      <c r="Z41" s="44"/>
      <c r="AA41" s="44"/>
      <c r="AB41" s="44"/>
      <c r="AC41" s="44"/>
      <c r="AD41" s="44"/>
      <c r="AE41" s="44"/>
      <c r="AF41" s="44"/>
      <c r="AG41" s="44"/>
      <c r="AH41" s="44"/>
      <c r="AI41" s="44"/>
      <c r="AJ41" s="44"/>
      <c r="AK41" s="44"/>
      <c r="AL41" s="44"/>
    </row>
    <row r="42">
      <c r="A42" s="34" t="b">
        <v>0</v>
      </c>
      <c r="B42" s="35">
        <v>45475.0</v>
      </c>
      <c r="C42" s="18" t="s">
        <v>150</v>
      </c>
      <c r="D42" s="37" t="s">
        <v>270</v>
      </c>
      <c r="E42" s="37" t="s">
        <v>233</v>
      </c>
      <c r="F42" s="37" t="s">
        <v>156</v>
      </c>
      <c r="G42" s="38">
        <v>8880000.0</v>
      </c>
      <c r="H42" s="39" t="s">
        <v>259</v>
      </c>
      <c r="I42" s="39">
        <v>3.0</v>
      </c>
      <c r="J42" s="38">
        <f t="shared" si="7"/>
        <v>266400</v>
      </c>
      <c r="K42" s="38">
        <f t="shared" si="2"/>
        <v>13320</v>
      </c>
      <c r="L42" s="39">
        <v>88.0</v>
      </c>
      <c r="M42" s="38">
        <f t="shared" si="13"/>
        <v>234432</v>
      </c>
      <c r="N42" s="38">
        <f>J42*2.5%</f>
        <v>6660</v>
      </c>
      <c r="O42" s="38"/>
      <c r="P42" s="38"/>
      <c r="Q42" s="40">
        <f t="shared" ref="Q42:Q49" si="18">J42-M42-N42</f>
        <v>25308</v>
      </c>
      <c r="R42" s="39"/>
      <c r="S42" s="39"/>
      <c r="T42" s="39" t="s">
        <v>143</v>
      </c>
      <c r="U42" s="54" t="s">
        <v>271</v>
      </c>
      <c r="V42" s="51"/>
      <c r="W42" s="51"/>
      <c r="X42" s="55" t="s">
        <v>222</v>
      </c>
      <c r="Y42" s="44"/>
      <c r="Z42" s="44"/>
      <c r="AA42" s="44"/>
      <c r="AB42" s="44"/>
      <c r="AC42" s="44"/>
      <c r="AD42" s="44"/>
      <c r="AE42" s="44"/>
      <c r="AF42" s="44"/>
      <c r="AG42" s="44"/>
      <c r="AH42" s="44"/>
      <c r="AI42" s="44"/>
      <c r="AJ42" s="44"/>
      <c r="AK42" s="44"/>
      <c r="AL42" s="44"/>
    </row>
    <row r="43">
      <c r="A43" s="34" t="b">
        <v>0</v>
      </c>
      <c r="B43" s="35">
        <v>45482.0</v>
      </c>
      <c r="C43" s="18" t="s">
        <v>150</v>
      </c>
      <c r="D43" s="37" t="s">
        <v>272</v>
      </c>
      <c r="E43" s="56" t="s">
        <v>152</v>
      </c>
      <c r="F43" s="37" t="s">
        <v>222</v>
      </c>
      <c r="G43" s="38">
        <v>2731888.0</v>
      </c>
      <c r="H43" s="57" t="s">
        <v>273</v>
      </c>
      <c r="I43" s="39">
        <v>4.0</v>
      </c>
      <c r="J43" s="38">
        <f t="shared" si="7"/>
        <v>109275.52</v>
      </c>
      <c r="K43" s="38">
        <f t="shared" si="2"/>
        <v>5463.776</v>
      </c>
      <c r="L43" s="39">
        <v>88.0</v>
      </c>
      <c r="M43" s="38">
        <f t="shared" si="13"/>
        <v>96162.4576</v>
      </c>
      <c r="N43" s="38">
        <f t="shared" ref="N43:N44" si="19">J43*0.015</f>
        <v>1639.1328</v>
      </c>
      <c r="O43" s="38"/>
      <c r="P43" s="38"/>
      <c r="Q43" s="40">
        <f t="shared" si="18"/>
        <v>11473.9296</v>
      </c>
      <c r="R43" s="39"/>
      <c r="S43" s="39"/>
      <c r="T43" s="39" t="s">
        <v>143</v>
      </c>
      <c r="U43" s="54" t="s">
        <v>271</v>
      </c>
      <c r="V43" s="51"/>
      <c r="W43" s="51"/>
      <c r="X43" s="52"/>
      <c r="Y43" s="53"/>
      <c r="Z43" s="53"/>
      <c r="AA43" s="53"/>
      <c r="AB43" s="53"/>
      <c r="AC43" s="53"/>
      <c r="AD43" s="53"/>
      <c r="AE43" s="53"/>
      <c r="AF43" s="53"/>
      <c r="AG43" s="53"/>
      <c r="AH43" s="53"/>
      <c r="AI43" s="53"/>
      <c r="AJ43" s="53"/>
      <c r="AK43" s="53"/>
      <c r="AL43" s="53"/>
    </row>
    <row r="44">
      <c r="A44" s="34" t="b">
        <v>0</v>
      </c>
      <c r="B44" s="35">
        <v>45482.0</v>
      </c>
      <c r="C44" s="18" t="s">
        <v>150</v>
      </c>
      <c r="D44" s="37" t="s">
        <v>272</v>
      </c>
      <c r="E44" s="37" t="s">
        <v>152</v>
      </c>
      <c r="F44" s="37" t="s">
        <v>222</v>
      </c>
      <c r="G44" s="38">
        <v>2884888.0</v>
      </c>
      <c r="H44" s="39" t="s">
        <v>273</v>
      </c>
      <c r="I44" s="39">
        <v>4.0</v>
      </c>
      <c r="J44" s="38">
        <f t="shared" si="7"/>
        <v>115395.52</v>
      </c>
      <c r="K44" s="38">
        <f t="shared" si="2"/>
        <v>5769.776</v>
      </c>
      <c r="L44" s="39">
        <v>88.0</v>
      </c>
      <c r="M44" s="38">
        <f t="shared" si="13"/>
        <v>101548.0576</v>
      </c>
      <c r="N44" s="38">
        <f t="shared" si="19"/>
        <v>1730.9328</v>
      </c>
      <c r="O44" s="38"/>
      <c r="P44" s="38"/>
      <c r="Q44" s="40">
        <f t="shared" si="18"/>
        <v>12116.5296</v>
      </c>
      <c r="R44" s="39"/>
      <c r="S44" s="39"/>
      <c r="T44" s="39" t="s">
        <v>143</v>
      </c>
      <c r="U44" s="58"/>
      <c r="V44" s="39" t="s">
        <v>155</v>
      </c>
      <c r="W44" s="47"/>
      <c r="X44" s="45" t="s">
        <v>222</v>
      </c>
      <c r="Y44" s="53"/>
      <c r="Z44" s="53"/>
      <c r="AA44" s="53"/>
      <c r="AB44" s="53"/>
      <c r="AC44" s="53"/>
      <c r="AD44" s="53"/>
      <c r="AE44" s="53"/>
      <c r="AF44" s="53"/>
      <c r="AG44" s="53"/>
      <c r="AH44" s="53"/>
      <c r="AI44" s="53"/>
      <c r="AJ44" s="53"/>
      <c r="AK44" s="53"/>
      <c r="AL44" s="53"/>
    </row>
    <row r="45">
      <c r="A45" s="34" t="b">
        <v>0</v>
      </c>
      <c r="B45" s="35">
        <v>45484.0</v>
      </c>
      <c r="C45" s="18" t="s">
        <v>150</v>
      </c>
      <c r="D45" s="37" t="s">
        <v>274</v>
      </c>
      <c r="E45" s="37" t="s">
        <v>275</v>
      </c>
      <c r="F45" s="37" t="s">
        <v>237</v>
      </c>
      <c r="G45" s="38">
        <v>1298670.0</v>
      </c>
      <c r="H45" s="39" t="s">
        <v>185</v>
      </c>
      <c r="I45" s="39">
        <v>4.0</v>
      </c>
      <c r="J45" s="38">
        <f t="shared" si="7"/>
        <v>51946.8</v>
      </c>
      <c r="K45" s="38">
        <f t="shared" si="2"/>
        <v>2597.34</v>
      </c>
      <c r="L45" s="39">
        <v>88.0</v>
      </c>
      <c r="M45" s="38">
        <f t="shared" si="13"/>
        <v>45713.184</v>
      </c>
      <c r="N45" s="38">
        <f t="shared" ref="N45:N46" si="20">J45*0.01</f>
        <v>519.468</v>
      </c>
      <c r="O45" s="38">
        <f t="shared" ref="O45:O46" si="21">J45*0.01</f>
        <v>519.468</v>
      </c>
      <c r="P45" s="38"/>
      <c r="Q45" s="40">
        <f t="shared" si="18"/>
        <v>5714.148</v>
      </c>
      <c r="R45" s="49">
        <v>45630.0</v>
      </c>
      <c r="S45" s="39"/>
      <c r="T45" s="39" t="s">
        <v>276</v>
      </c>
      <c r="U45" s="59" t="s">
        <v>277</v>
      </c>
      <c r="V45" s="39" t="s">
        <v>155</v>
      </c>
      <c r="W45" s="47"/>
      <c r="X45" s="45" t="s">
        <v>44</v>
      </c>
      <c r="Y45" s="44"/>
      <c r="Z45" s="44"/>
      <c r="AA45" s="44"/>
      <c r="AB45" s="44"/>
      <c r="AC45" s="44"/>
      <c r="AD45" s="44"/>
      <c r="AE45" s="44"/>
      <c r="AF45" s="44"/>
      <c r="AG45" s="44"/>
      <c r="AH45" s="44"/>
      <c r="AI45" s="44"/>
      <c r="AJ45" s="44"/>
      <c r="AK45" s="44"/>
      <c r="AL45" s="44"/>
    </row>
    <row r="46">
      <c r="A46" s="34" t="b">
        <v>0</v>
      </c>
      <c r="B46" s="35">
        <v>45484.0</v>
      </c>
      <c r="C46" s="18" t="s">
        <v>150</v>
      </c>
      <c r="D46" s="56" t="s">
        <v>274</v>
      </c>
      <c r="E46" s="56" t="s">
        <v>275</v>
      </c>
      <c r="F46" s="37" t="s">
        <v>237</v>
      </c>
      <c r="G46" s="38">
        <v>2083630.0</v>
      </c>
      <c r="H46" s="39" t="s">
        <v>185</v>
      </c>
      <c r="I46" s="39">
        <v>4.0</v>
      </c>
      <c r="J46" s="38">
        <f t="shared" si="7"/>
        <v>83345.2</v>
      </c>
      <c r="K46" s="38">
        <f t="shared" si="2"/>
        <v>4167.26</v>
      </c>
      <c r="L46" s="39">
        <v>88.0</v>
      </c>
      <c r="M46" s="38">
        <f t="shared" si="13"/>
        <v>73343.776</v>
      </c>
      <c r="N46" s="38">
        <f t="shared" si="20"/>
        <v>833.452</v>
      </c>
      <c r="O46" s="38">
        <f t="shared" si="21"/>
        <v>833.452</v>
      </c>
      <c r="P46" s="38"/>
      <c r="Q46" s="40">
        <f t="shared" si="18"/>
        <v>9167.972</v>
      </c>
      <c r="R46" s="39"/>
      <c r="S46" s="39"/>
      <c r="T46" s="39" t="s">
        <v>276</v>
      </c>
      <c r="U46" s="59" t="s">
        <v>277</v>
      </c>
      <c r="V46" s="51" t="s">
        <v>155</v>
      </c>
      <c r="W46" s="51"/>
      <c r="X46" s="55" t="s">
        <v>44</v>
      </c>
      <c r="Y46" s="44"/>
      <c r="Z46" s="44"/>
      <c r="AA46" s="44"/>
      <c r="AB46" s="44"/>
      <c r="AC46" s="44"/>
      <c r="AD46" s="44"/>
      <c r="AE46" s="44"/>
      <c r="AF46" s="44"/>
      <c r="AG46" s="44"/>
      <c r="AH46" s="44"/>
      <c r="AI46" s="44"/>
      <c r="AJ46" s="44"/>
      <c r="AK46" s="44"/>
      <c r="AL46" s="44"/>
    </row>
    <row r="47" hidden="1">
      <c r="A47" s="34" t="b">
        <v>0</v>
      </c>
      <c r="B47" s="35">
        <v>45489.0</v>
      </c>
      <c r="C47" s="18" t="s">
        <v>150</v>
      </c>
      <c r="D47" s="37" t="s">
        <v>278</v>
      </c>
      <c r="E47" s="60" t="s">
        <v>2</v>
      </c>
      <c r="F47" s="37" t="s">
        <v>156</v>
      </c>
      <c r="G47" s="38">
        <v>1136229.12</v>
      </c>
      <c r="H47" s="61" t="s">
        <v>279</v>
      </c>
      <c r="I47" s="39">
        <v>6.0</v>
      </c>
      <c r="J47" s="38">
        <f t="shared" si="7"/>
        <v>68173.7472</v>
      </c>
      <c r="K47" s="38">
        <f t="shared" si="2"/>
        <v>3408.68736</v>
      </c>
      <c r="L47" s="39">
        <v>88.0</v>
      </c>
      <c r="M47" s="38">
        <f t="shared" si="13"/>
        <v>59992.89754</v>
      </c>
      <c r="N47" s="38"/>
      <c r="O47" s="38"/>
      <c r="P47" s="38"/>
      <c r="Q47" s="40">
        <f t="shared" si="18"/>
        <v>8180.849664</v>
      </c>
      <c r="R47" s="39"/>
      <c r="S47" s="49">
        <v>45674.0</v>
      </c>
      <c r="T47" s="39" t="s">
        <v>280</v>
      </c>
      <c r="U47" s="54"/>
      <c r="V47" s="47"/>
      <c r="W47" s="47"/>
      <c r="X47" s="45" t="s">
        <v>2</v>
      </c>
      <c r="Y47" s="44"/>
      <c r="Z47" s="44"/>
      <c r="AA47" s="44"/>
      <c r="AB47" s="44"/>
      <c r="AC47" s="44"/>
      <c r="AD47" s="44"/>
      <c r="AE47" s="44"/>
      <c r="AF47" s="44"/>
      <c r="AG47" s="44"/>
      <c r="AH47" s="44"/>
      <c r="AI47" s="44"/>
      <c r="AJ47" s="44"/>
      <c r="AK47" s="44"/>
      <c r="AL47" s="44"/>
    </row>
    <row r="48">
      <c r="A48" s="34" t="b">
        <v>0</v>
      </c>
      <c r="B48" s="35">
        <v>45491.0</v>
      </c>
      <c r="C48" s="18" t="s">
        <v>150</v>
      </c>
      <c r="D48" s="37" t="s">
        <v>281</v>
      </c>
      <c r="E48" s="37" t="s">
        <v>282</v>
      </c>
      <c r="F48" s="37" t="s">
        <v>283</v>
      </c>
      <c r="G48" s="38">
        <v>602560.0</v>
      </c>
      <c r="H48" s="39" t="s">
        <v>284</v>
      </c>
      <c r="I48" s="39">
        <v>4.0</v>
      </c>
      <c r="J48" s="38">
        <f t="shared" si="7"/>
        <v>24102.4</v>
      </c>
      <c r="K48" s="38">
        <f t="shared" si="2"/>
        <v>1205.12</v>
      </c>
      <c r="L48" s="39">
        <v>80.0</v>
      </c>
      <c r="M48" s="38">
        <f t="shared" si="13"/>
        <v>19281.92</v>
      </c>
      <c r="N48" s="38">
        <v>250.0</v>
      </c>
      <c r="O48" s="38"/>
      <c r="P48" s="38"/>
      <c r="Q48" s="40">
        <f t="shared" si="18"/>
        <v>4570.48</v>
      </c>
      <c r="R48" s="39"/>
      <c r="S48" s="39"/>
      <c r="T48" s="39" t="s">
        <v>285</v>
      </c>
      <c r="U48" s="54" t="s">
        <v>251</v>
      </c>
      <c r="V48" s="47"/>
      <c r="W48" s="47"/>
      <c r="X48" s="45" t="s">
        <v>44</v>
      </c>
    </row>
    <row r="49">
      <c r="A49" s="34" t="b">
        <v>0</v>
      </c>
      <c r="B49" s="35">
        <v>45497.0</v>
      </c>
      <c r="C49" s="18" t="s">
        <v>150</v>
      </c>
      <c r="D49" s="37" t="s">
        <v>286</v>
      </c>
      <c r="E49" s="37" t="s">
        <v>287</v>
      </c>
      <c r="F49" s="37" t="s">
        <v>288</v>
      </c>
      <c r="G49" s="38">
        <v>1918438.0</v>
      </c>
      <c r="H49" s="39" t="s">
        <v>171</v>
      </c>
      <c r="I49" s="39">
        <v>5.0</v>
      </c>
      <c r="J49" s="38">
        <f t="shared" si="7"/>
        <v>95921.9</v>
      </c>
      <c r="K49" s="38">
        <f t="shared" si="2"/>
        <v>4796.095</v>
      </c>
      <c r="L49" s="39">
        <v>88.0</v>
      </c>
      <c r="M49" s="38">
        <f t="shared" si="13"/>
        <v>84411.272</v>
      </c>
      <c r="N49" s="38">
        <f>G49*0.0025</f>
        <v>4796.095</v>
      </c>
      <c r="O49" s="38">
        <f t="shared" ref="O49:O50" si="22">J49*0.01</f>
        <v>959.219</v>
      </c>
      <c r="P49" s="38"/>
      <c r="Q49" s="40">
        <f t="shared" si="18"/>
        <v>6714.533</v>
      </c>
      <c r="R49" s="39"/>
      <c r="S49" s="39"/>
      <c r="T49" s="39" t="s">
        <v>289</v>
      </c>
      <c r="U49" s="39" t="s">
        <v>290</v>
      </c>
      <c r="V49" s="47"/>
      <c r="W49" s="47"/>
      <c r="X49" s="45" t="s">
        <v>44</v>
      </c>
      <c r="Y49" s="44"/>
      <c r="Z49" s="44"/>
      <c r="AA49" s="44"/>
      <c r="AB49" s="44"/>
      <c r="AC49" s="44"/>
      <c r="AD49" s="44"/>
      <c r="AE49" s="44"/>
      <c r="AF49" s="44"/>
      <c r="AG49" s="44"/>
      <c r="AH49" s="44"/>
      <c r="AI49" s="44"/>
      <c r="AJ49" s="44"/>
      <c r="AK49" s="44"/>
      <c r="AL49" s="44"/>
    </row>
    <row r="50">
      <c r="A50" s="34" t="b">
        <v>0</v>
      </c>
      <c r="B50" s="35">
        <v>45504.0</v>
      </c>
      <c r="C50" s="18" t="s">
        <v>150</v>
      </c>
      <c r="D50" s="37" t="s">
        <v>291</v>
      </c>
      <c r="E50" s="37" t="s">
        <v>237</v>
      </c>
      <c r="F50" s="37" t="s">
        <v>292</v>
      </c>
      <c r="G50" s="38">
        <v>1883090.0</v>
      </c>
      <c r="H50" s="39" t="s">
        <v>293</v>
      </c>
      <c r="I50" s="39">
        <v>6.0</v>
      </c>
      <c r="J50" s="38">
        <f t="shared" si="7"/>
        <v>112985.4</v>
      </c>
      <c r="K50" s="38">
        <f t="shared" si="2"/>
        <v>5649.27</v>
      </c>
      <c r="L50" s="39">
        <v>88.0</v>
      </c>
      <c r="M50" s="38">
        <f t="shared" si="13"/>
        <v>99427.152</v>
      </c>
      <c r="N50" s="38">
        <f>J50*0.01</f>
        <v>1129.854</v>
      </c>
      <c r="O50" s="38">
        <f t="shared" si="22"/>
        <v>1129.854</v>
      </c>
      <c r="P50" s="38">
        <f>J50*0.015</f>
        <v>1694.781</v>
      </c>
      <c r="Q50" s="40">
        <f>J50-M50-N50-P50</f>
        <v>10733.613</v>
      </c>
      <c r="R50" s="39"/>
      <c r="S50" s="39"/>
      <c r="T50" s="39" t="s">
        <v>294</v>
      </c>
      <c r="U50" s="39" t="s">
        <v>155</v>
      </c>
      <c r="V50" s="39" t="s">
        <v>155</v>
      </c>
      <c r="W50" s="47"/>
      <c r="X50" s="45" t="s">
        <v>295</v>
      </c>
      <c r="Y50" s="44"/>
      <c r="Z50" s="44"/>
      <c r="AA50" s="44"/>
      <c r="AB50" s="44"/>
      <c r="AC50" s="44"/>
      <c r="AD50" s="44"/>
      <c r="AE50" s="44"/>
      <c r="AF50" s="44"/>
      <c r="AG50" s="44"/>
      <c r="AH50" s="44"/>
      <c r="AI50" s="44"/>
      <c r="AJ50" s="44"/>
      <c r="AK50" s="44"/>
      <c r="AL50" s="44"/>
    </row>
    <row r="51" ht="14.25" customHeight="1">
      <c r="A51" s="34" t="b">
        <v>0</v>
      </c>
      <c r="B51" s="35">
        <v>45504.0</v>
      </c>
      <c r="C51" s="18" t="s">
        <v>150</v>
      </c>
      <c r="D51" s="37" t="s">
        <v>296</v>
      </c>
      <c r="E51" s="37" t="s">
        <v>297</v>
      </c>
      <c r="F51" s="37"/>
      <c r="G51" s="38">
        <v>4873250.0</v>
      </c>
      <c r="H51" s="39" t="s">
        <v>185</v>
      </c>
      <c r="I51" s="39">
        <v>4.0</v>
      </c>
      <c r="J51" s="38">
        <f t="shared" si="7"/>
        <v>194930</v>
      </c>
      <c r="K51" s="38">
        <f t="shared" si="2"/>
        <v>9746.5</v>
      </c>
      <c r="L51" s="39">
        <v>50.0</v>
      </c>
      <c r="M51" s="38">
        <f t="shared" si="13"/>
        <v>97465</v>
      </c>
      <c r="N51" s="38">
        <v>0.0</v>
      </c>
      <c r="O51" s="38"/>
      <c r="P51" s="38"/>
      <c r="Q51" s="40">
        <f t="shared" ref="Q51:Q60" si="23">J51-M51-N51</f>
        <v>97465</v>
      </c>
      <c r="R51" s="39"/>
      <c r="S51" s="39"/>
      <c r="T51" s="47"/>
      <c r="U51" s="47"/>
      <c r="V51" s="47"/>
      <c r="W51" s="47"/>
      <c r="X51" s="45" t="s">
        <v>2</v>
      </c>
      <c r="Y51" s="53"/>
      <c r="Z51" s="53"/>
      <c r="AA51" s="53"/>
      <c r="AB51" s="53"/>
      <c r="AC51" s="53"/>
      <c r="AD51" s="53"/>
      <c r="AE51" s="53"/>
      <c r="AF51" s="53"/>
      <c r="AG51" s="53"/>
      <c r="AH51" s="53"/>
      <c r="AI51" s="53"/>
      <c r="AJ51" s="53"/>
      <c r="AK51" s="53"/>
      <c r="AL51" s="53"/>
    </row>
    <row r="52" hidden="1">
      <c r="A52" s="34" t="b">
        <v>0</v>
      </c>
      <c r="B52" s="35">
        <v>45506.0</v>
      </c>
      <c r="C52" s="18" t="s">
        <v>150</v>
      </c>
      <c r="D52" s="37" t="s">
        <v>298</v>
      </c>
      <c r="E52" s="37" t="s">
        <v>256</v>
      </c>
      <c r="F52" s="38" t="s">
        <v>203</v>
      </c>
      <c r="G52" s="38">
        <v>1127000.0</v>
      </c>
      <c r="H52" s="62" t="s">
        <v>299</v>
      </c>
      <c r="I52" s="39">
        <v>3.0</v>
      </c>
      <c r="J52" s="38">
        <f t="shared" si="7"/>
        <v>33810</v>
      </c>
      <c r="K52" s="38">
        <f t="shared" si="2"/>
        <v>1690.5</v>
      </c>
      <c r="L52" s="39">
        <v>80.0</v>
      </c>
      <c r="M52" s="38">
        <f t="shared" si="13"/>
        <v>27048</v>
      </c>
      <c r="N52" s="38">
        <v>338.0</v>
      </c>
      <c r="O52" s="38">
        <f t="shared" ref="O52:O54" si="24">J52*0.01</f>
        <v>338.1</v>
      </c>
      <c r="P52" s="38"/>
      <c r="Q52" s="40">
        <f t="shared" si="23"/>
        <v>6424</v>
      </c>
      <c r="R52" s="39"/>
      <c r="S52" s="35">
        <v>45621.0</v>
      </c>
      <c r="T52" s="39" t="s">
        <v>300</v>
      </c>
      <c r="U52" s="47"/>
      <c r="V52" s="39" t="s">
        <v>155</v>
      </c>
      <c r="W52" s="47"/>
      <c r="X52" s="45" t="s">
        <v>44</v>
      </c>
      <c r="Y52" s="44"/>
      <c r="Z52" s="44"/>
      <c r="AA52" s="44"/>
      <c r="AB52" s="44"/>
      <c r="AC52" s="44"/>
      <c r="AD52" s="44"/>
      <c r="AE52" s="44"/>
      <c r="AF52" s="44"/>
      <c r="AG52" s="44"/>
      <c r="AH52" s="44"/>
      <c r="AI52" s="44"/>
      <c r="AJ52" s="44"/>
      <c r="AK52" s="44"/>
      <c r="AL52" s="44"/>
    </row>
    <row r="53">
      <c r="A53" s="34" t="b">
        <v>0</v>
      </c>
      <c r="B53" s="35">
        <v>45508.0</v>
      </c>
      <c r="C53" s="18" t="s">
        <v>150</v>
      </c>
      <c r="D53" s="37" t="s">
        <v>301</v>
      </c>
      <c r="E53" s="37" t="s">
        <v>237</v>
      </c>
      <c r="F53" s="37" t="s">
        <v>292</v>
      </c>
      <c r="G53" s="38">
        <v>950000.0</v>
      </c>
      <c r="H53" s="39" t="s">
        <v>302</v>
      </c>
      <c r="I53" s="39">
        <v>5.0</v>
      </c>
      <c r="J53" s="38">
        <f t="shared" si="7"/>
        <v>47500</v>
      </c>
      <c r="K53" s="38">
        <f t="shared" si="2"/>
        <v>2375</v>
      </c>
      <c r="L53" s="39">
        <v>88.0</v>
      </c>
      <c r="M53" s="38">
        <f t="shared" si="13"/>
        <v>41800</v>
      </c>
      <c r="N53" s="38">
        <f t="shared" ref="N53:N54" si="25">J53*0.01</f>
        <v>475</v>
      </c>
      <c r="O53" s="38">
        <f t="shared" si="24"/>
        <v>475</v>
      </c>
      <c r="P53" s="38"/>
      <c r="Q53" s="40">
        <f t="shared" si="23"/>
        <v>5225</v>
      </c>
      <c r="R53" s="39"/>
      <c r="S53" s="39"/>
      <c r="T53" s="39" t="s">
        <v>303</v>
      </c>
      <c r="U53" s="47"/>
      <c r="V53" s="47"/>
      <c r="W53" s="47"/>
      <c r="X53" s="45" t="s">
        <v>295</v>
      </c>
      <c r="Y53" s="44"/>
      <c r="Z53" s="44"/>
      <c r="AA53" s="44"/>
      <c r="AB53" s="44"/>
      <c r="AC53" s="44"/>
      <c r="AD53" s="44"/>
      <c r="AE53" s="44"/>
      <c r="AF53" s="44"/>
      <c r="AG53" s="44"/>
      <c r="AH53" s="44"/>
      <c r="AI53" s="44"/>
      <c r="AJ53" s="44"/>
      <c r="AK53" s="44"/>
      <c r="AL53" s="44"/>
    </row>
    <row r="54">
      <c r="A54" s="34" t="b">
        <v>0</v>
      </c>
      <c r="B54" s="35">
        <v>45513.0</v>
      </c>
      <c r="C54" s="18" t="s">
        <v>150</v>
      </c>
      <c r="D54" s="37" t="s">
        <v>304</v>
      </c>
      <c r="E54" s="37" t="s">
        <v>305</v>
      </c>
      <c r="F54" s="37" t="s">
        <v>306</v>
      </c>
      <c r="G54" s="38">
        <v>1165047.0</v>
      </c>
      <c r="H54" s="39" t="s">
        <v>307</v>
      </c>
      <c r="I54" s="39">
        <v>7.0</v>
      </c>
      <c r="J54" s="38">
        <f t="shared" si="7"/>
        <v>81553.29</v>
      </c>
      <c r="K54" s="38">
        <f t="shared" si="2"/>
        <v>4077.6645</v>
      </c>
      <c r="L54" s="39">
        <v>88.0</v>
      </c>
      <c r="M54" s="38">
        <f t="shared" si="13"/>
        <v>71766.8952</v>
      </c>
      <c r="N54" s="38">
        <f t="shared" si="25"/>
        <v>815.5329</v>
      </c>
      <c r="O54" s="38">
        <f t="shared" si="24"/>
        <v>815.5329</v>
      </c>
      <c r="P54" s="38"/>
      <c r="Q54" s="40">
        <f t="shared" si="23"/>
        <v>8970.8619</v>
      </c>
      <c r="R54" s="39"/>
      <c r="S54" s="39"/>
      <c r="T54" s="39" t="s">
        <v>143</v>
      </c>
      <c r="U54" s="39" t="s">
        <v>155</v>
      </c>
      <c r="V54" s="47"/>
      <c r="W54" s="47"/>
      <c r="X54" s="45" t="s">
        <v>222</v>
      </c>
      <c r="Y54" s="44"/>
      <c r="Z54" s="44"/>
      <c r="AA54" s="44"/>
      <c r="AB54" s="44"/>
      <c r="AC54" s="44"/>
      <c r="AD54" s="44"/>
      <c r="AE54" s="44"/>
      <c r="AF54" s="44"/>
      <c r="AG54" s="44"/>
      <c r="AH54" s="44"/>
      <c r="AI54" s="44"/>
      <c r="AJ54" s="44"/>
      <c r="AK54" s="44"/>
      <c r="AL54" s="44"/>
    </row>
    <row r="55">
      <c r="A55" s="34" t="b">
        <v>0</v>
      </c>
      <c r="B55" s="35">
        <v>45513.0</v>
      </c>
      <c r="C55" s="18" t="s">
        <v>150</v>
      </c>
      <c r="D55" s="37" t="s">
        <v>308</v>
      </c>
      <c r="E55" s="37" t="s">
        <v>309</v>
      </c>
      <c r="F55" s="37" t="s">
        <v>156</v>
      </c>
      <c r="G55" s="38">
        <v>1496496.0</v>
      </c>
      <c r="H55" s="39" t="s">
        <v>310</v>
      </c>
      <c r="I55" s="39">
        <v>5.0</v>
      </c>
      <c r="J55" s="38">
        <f t="shared" si="7"/>
        <v>74824.8</v>
      </c>
      <c r="K55" s="38">
        <f t="shared" si="2"/>
        <v>3741.24</v>
      </c>
      <c r="L55" s="39">
        <v>88.0</v>
      </c>
      <c r="M55" s="38">
        <f t="shared" si="13"/>
        <v>65845.824</v>
      </c>
      <c r="N55" s="38">
        <v>0.0</v>
      </c>
      <c r="O55" s="38"/>
      <c r="P55" s="38"/>
      <c r="Q55" s="40">
        <f t="shared" si="23"/>
        <v>8978.976</v>
      </c>
      <c r="R55" s="39"/>
      <c r="S55" s="39"/>
      <c r="T55" s="39" t="s">
        <v>143</v>
      </c>
      <c r="U55" s="39" t="s">
        <v>155</v>
      </c>
      <c r="V55" s="47"/>
      <c r="W55" s="47"/>
      <c r="X55" s="45" t="s">
        <v>2</v>
      </c>
      <c r="Y55" s="53"/>
      <c r="Z55" s="53"/>
      <c r="AA55" s="53"/>
      <c r="AB55" s="53"/>
      <c r="AC55" s="53"/>
      <c r="AD55" s="53"/>
      <c r="AE55" s="53"/>
      <c r="AF55" s="53"/>
      <c r="AG55" s="53"/>
      <c r="AH55" s="53"/>
      <c r="AI55" s="53"/>
      <c r="AJ55" s="53"/>
      <c r="AK55" s="53"/>
      <c r="AL55" s="53"/>
    </row>
    <row r="56" hidden="1">
      <c r="A56" s="34" t="b">
        <v>0</v>
      </c>
      <c r="B56" s="35">
        <v>45531.0</v>
      </c>
      <c r="C56" s="39" t="s">
        <v>150</v>
      </c>
      <c r="D56" s="37" t="s">
        <v>311</v>
      </c>
      <c r="E56" s="37" t="s">
        <v>200</v>
      </c>
      <c r="F56" s="37" t="s">
        <v>312</v>
      </c>
      <c r="G56" s="38">
        <v>961817.0</v>
      </c>
      <c r="H56" s="39" t="s">
        <v>185</v>
      </c>
      <c r="I56" s="39">
        <v>2.4</v>
      </c>
      <c r="J56" s="38">
        <f t="shared" si="7"/>
        <v>23083.608</v>
      </c>
      <c r="K56" s="38">
        <f t="shared" si="2"/>
        <v>1154.1804</v>
      </c>
      <c r="L56" s="39">
        <v>80.0</v>
      </c>
      <c r="M56" s="38">
        <f t="shared" si="13"/>
        <v>18466.8864</v>
      </c>
      <c r="N56" s="38">
        <f>J56*0.09</f>
        <v>2077.52472</v>
      </c>
      <c r="O56" s="38"/>
      <c r="P56" s="38"/>
      <c r="Q56" s="40">
        <f t="shared" si="23"/>
        <v>2539.19688</v>
      </c>
      <c r="R56" s="49">
        <v>45769.0</v>
      </c>
      <c r="S56" s="49">
        <v>45777.0</v>
      </c>
      <c r="T56" s="63" t="s">
        <v>313</v>
      </c>
      <c r="U56" s="47"/>
      <c r="V56" s="39" t="s">
        <v>314</v>
      </c>
      <c r="W56" s="47"/>
      <c r="X56" s="45" t="s">
        <v>315</v>
      </c>
      <c r="Y56" s="44"/>
      <c r="Z56" s="44"/>
      <c r="AA56" s="44"/>
      <c r="AB56" s="44"/>
      <c r="AC56" s="44"/>
      <c r="AD56" s="44"/>
      <c r="AE56" s="44"/>
      <c r="AF56" s="44"/>
      <c r="AG56" s="44"/>
      <c r="AH56" s="44"/>
      <c r="AI56" s="44"/>
      <c r="AJ56" s="44"/>
      <c r="AK56" s="44"/>
      <c r="AL56" s="44"/>
    </row>
    <row r="57">
      <c r="A57" s="34" t="b">
        <v>0</v>
      </c>
      <c r="B57" s="35">
        <v>45535.0</v>
      </c>
      <c r="C57" s="18" t="s">
        <v>150</v>
      </c>
      <c r="D57" s="37" t="s">
        <v>316</v>
      </c>
      <c r="E57" s="37" t="s">
        <v>305</v>
      </c>
      <c r="F57" s="37" t="s">
        <v>306</v>
      </c>
      <c r="G57" s="38">
        <v>1353580.0</v>
      </c>
      <c r="H57" s="39" t="s">
        <v>307</v>
      </c>
      <c r="I57" s="39">
        <v>7.0</v>
      </c>
      <c r="J57" s="38">
        <f t="shared" si="7"/>
        <v>94750.6</v>
      </c>
      <c r="K57" s="38">
        <f t="shared" si="2"/>
        <v>4737.53</v>
      </c>
      <c r="L57" s="39">
        <v>88.0</v>
      </c>
      <c r="M57" s="38">
        <f t="shared" si="13"/>
        <v>83380.528</v>
      </c>
      <c r="N57" s="38">
        <f t="shared" ref="N57:N61" si="26">J57*0.01</f>
        <v>947.506</v>
      </c>
      <c r="O57" s="38">
        <f t="shared" ref="O57:O61" si="27">J57*0.01</f>
        <v>947.506</v>
      </c>
      <c r="P57" s="38"/>
      <c r="Q57" s="40">
        <f t="shared" si="23"/>
        <v>10422.566</v>
      </c>
      <c r="R57" s="39"/>
      <c r="S57" s="39"/>
      <c r="T57" s="39" t="s">
        <v>143</v>
      </c>
      <c r="U57" s="39" t="s">
        <v>317</v>
      </c>
      <c r="V57" s="39" t="s">
        <v>318</v>
      </c>
      <c r="W57" s="47"/>
      <c r="X57" s="45" t="s">
        <v>2</v>
      </c>
      <c r="Y57" s="53"/>
      <c r="Z57" s="53"/>
      <c r="AA57" s="53"/>
      <c r="AB57" s="53"/>
      <c r="AC57" s="53"/>
      <c r="AD57" s="53"/>
      <c r="AE57" s="53"/>
      <c r="AF57" s="53"/>
      <c r="AG57" s="53"/>
      <c r="AH57" s="53"/>
      <c r="AI57" s="53"/>
      <c r="AJ57" s="53"/>
      <c r="AK57" s="53"/>
      <c r="AL57" s="53"/>
    </row>
    <row r="58">
      <c r="A58" s="34" t="b">
        <v>0</v>
      </c>
      <c r="B58" s="35">
        <v>45535.0</v>
      </c>
      <c r="C58" s="18" t="s">
        <v>150</v>
      </c>
      <c r="D58" s="37" t="s">
        <v>316</v>
      </c>
      <c r="E58" s="37" t="s">
        <v>305</v>
      </c>
      <c r="F58" s="37" t="s">
        <v>306</v>
      </c>
      <c r="G58" s="38">
        <v>1365978.0</v>
      </c>
      <c r="H58" s="39" t="s">
        <v>307</v>
      </c>
      <c r="I58" s="39">
        <v>7.0</v>
      </c>
      <c r="J58" s="38">
        <f t="shared" si="7"/>
        <v>95618.46</v>
      </c>
      <c r="K58" s="38">
        <f t="shared" si="2"/>
        <v>4780.923</v>
      </c>
      <c r="L58" s="39">
        <v>88.0</v>
      </c>
      <c r="M58" s="38">
        <f t="shared" si="13"/>
        <v>84144.2448</v>
      </c>
      <c r="N58" s="38">
        <f t="shared" si="26"/>
        <v>956.1846</v>
      </c>
      <c r="O58" s="38">
        <f t="shared" si="27"/>
        <v>956.1846</v>
      </c>
      <c r="P58" s="38"/>
      <c r="Q58" s="40">
        <f t="shared" si="23"/>
        <v>10518.0306</v>
      </c>
      <c r="R58" s="39"/>
      <c r="S58" s="39"/>
      <c r="T58" s="39" t="s">
        <v>143</v>
      </c>
      <c r="U58" s="39" t="s">
        <v>849</v>
      </c>
      <c r="V58" s="39" t="s">
        <v>320</v>
      </c>
      <c r="W58" s="47"/>
      <c r="X58" s="45" t="s">
        <v>2</v>
      </c>
      <c r="Y58" s="44"/>
      <c r="Z58" s="44"/>
      <c r="AA58" s="44"/>
      <c r="AB58" s="44"/>
      <c r="AC58" s="44"/>
      <c r="AD58" s="44"/>
      <c r="AE58" s="44"/>
      <c r="AF58" s="44"/>
      <c r="AG58" s="44"/>
      <c r="AH58" s="44"/>
      <c r="AI58" s="44"/>
      <c r="AJ58" s="44"/>
      <c r="AK58" s="44"/>
      <c r="AL58" s="44"/>
    </row>
    <row r="59">
      <c r="A59" s="34" t="b">
        <v>0</v>
      </c>
      <c r="B59" s="35">
        <v>45535.0</v>
      </c>
      <c r="C59" s="18" t="s">
        <v>150</v>
      </c>
      <c r="D59" s="37" t="s">
        <v>316</v>
      </c>
      <c r="E59" s="37" t="s">
        <v>305</v>
      </c>
      <c r="F59" s="37" t="s">
        <v>306</v>
      </c>
      <c r="G59" s="38">
        <v>1365978.0</v>
      </c>
      <c r="H59" s="39" t="s">
        <v>307</v>
      </c>
      <c r="I59" s="39">
        <v>7.0</v>
      </c>
      <c r="J59" s="38">
        <f t="shared" si="7"/>
        <v>95618.46</v>
      </c>
      <c r="K59" s="38">
        <f t="shared" si="2"/>
        <v>4780.923</v>
      </c>
      <c r="L59" s="39">
        <v>88.0</v>
      </c>
      <c r="M59" s="38">
        <f t="shared" si="13"/>
        <v>84144.2448</v>
      </c>
      <c r="N59" s="38">
        <f t="shared" si="26"/>
        <v>956.1846</v>
      </c>
      <c r="O59" s="38">
        <f t="shared" si="27"/>
        <v>956.1846</v>
      </c>
      <c r="P59" s="38"/>
      <c r="Q59" s="40">
        <f t="shared" si="23"/>
        <v>10518.0306</v>
      </c>
      <c r="R59" s="39"/>
      <c r="S59" s="39"/>
      <c r="T59" s="39" t="s">
        <v>143</v>
      </c>
      <c r="U59" s="39" t="s">
        <v>850</v>
      </c>
      <c r="V59" s="39" t="s">
        <v>322</v>
      </c>
      <c r="W59" s="47"/>
      <c r="X59" s="45" t="s">
        <v>2</v>
      </c>
      <c r="Y59" s="44"/>
      <c r="Z59" s="44"/>
      <c r="AA59" s="44"/>
      <c r="AB59" s="44"/>
      <c r="AC59" s="44"/>
      <c r="AD59" s="44"/>
      <c r="AE59" s="44"/>
      <c r="AF59" s="44"/>
      <c r="AG59" s="44"/>
      <c r="AH59" s="44"/>
      <c r="AI59" s="44"/>
      <c r="AJ59" s="44"/>
      <c r="AK59" s="44"/>
      <c r="AL59" s="44"/>
    </row>
    <row r="60" hidden="1">
      <c r="A60" s="34" t="b">
        <v>0</v>
      </c>
      <c r="B60" s="35">
        <v>45537.0</v>
      </c>
      <c r="C60" s="18" t="s">
        <v>150</v>
      </c>
      <c r="D60" s="37" t="s">
        <v>323</v>
      </c>
      <c r="E60" s="37" t="s">
        <v>324</v>
      </c>
      <c r="F60" s="37" t="s">
        <v>325</v>
      </c>
      <c r="G60" s="38">
        <v>987000.0</v>
      </c>
      <c r="H60" s="39" t="s">
        <v>326</v>
      </c>
      <c r="I60" s="39">
        <v>5.0</v>
      </c>
      <c r="J60" s="38">
        <f t="shared" si="7"/>
        <v>49350</v>
      </c>
      <c r="K60" s="38">
        <f t="shared" si="2"/>
        <v>2467.5</v>
      </c>
      <c r="L60" s="39">
        <v>88.0</v>
      </c>
      <c r="M60" s="38">
        <f t="shared" si="13"/>
        <v>43428</v>
      </c>
      <c r="N60" s="38">
        <f t="shared" si="26"/>
        <v>493.5</v>
      </c>
      <c r="O60" s="38">
        <f t="shared" si="27"/>
        <v>493.5</v>
      </c>
      <c r="P60" s="38"/>
      <c r="Q60" s="40">
        <f t="shared" si="23"/>
        <v>5428.5</v>
      </c>
      <c r="R60" s="39"/>
      <c r="S60" s="49">
        <v>45659.0</v>
      </c>
      <c r="T60" s="39" t="s">
        <v>327</v>
      </c>
      <c r="U60" s="64" t="s">
        <v>277</v>
      </c>
      <c r="V60" s="51"/>
      <c r="W60" s="51"/>
      <c r="X60" s="55" t="s">
        <v>2</v>
      </c>
      <c r="Y60" s="44"/>
      <c r="Z60" s="44"/>
      <c r="AA60" s="44"/>
      <c r="AB60" s="44"/>
      <c r="AC60" s="44"/>
      <c r="AD60" s="44"/>
      <c r="AE60" s="44"/>
      <c r="AF60" s="44"/>
      <c r="AG60" s="44"/>
      <c r="AH60" s="44"/>
      <c r="AI60" s="44"/>
      <c r="AJ60" s="44"/>
      <c r="AK60" s="44"/>
      <c r="AL60" s="44"/>
    </row>
    <row r="61">
      <c r="A61" s="34" t="b">
        <v>0</v>
      </c>
      <c r="B61" s="35">
        <v>45544.0</v>
      </c>
      <c r="C61" s="39" t="s">
        <v>150</v>
      </c>
      <c r="D61" s="37" t="s">
        <v>328</v>
      </c>
      <c r="E61" s="37" t="s">
        <v>329</v>
      </c>
      <c r="F61" s="37" t="s">
        <v>330</v>
      </c>
      <c r="G61" s="38">
        <v>927444.0</v>
      </c>
      <c r="H61" s="39" t="s">
        <v>238</v>
      </c>
      <c r="I61" s="39">
        <v>5.0</v>
      </c>
      <c r="J61" s="38">
        <f t="shared" si="7"/>
        <v>46372.2</v>
      </c>
      <c r="K61" s="38">
        <f t="shared" si="2"/>
        <v>2318.61</v>
      </c>
      <c r="L61" s="39">
        <v>88.0</v>
      </c>
      <c r="M61" s="38">
        <f t="shared" si="13"/>
        <v>40807.536</v>
      </c>
      <c r="N61" s="38">
        <f t="shared" si="26"/>
        <v>463.722</v>
      </c>
      <c r="O61" s="38">
        <f t="shared" si="27"/>
        <v>463.722</v>
      </c>
      <c r="P61" s="38">
        <f>J61*0.015</f>
        <v>695.583</v>
      </c>
      <c r="Q61" s="40">
        <f>J61-M61-N61-P61</f>
        <v>4405.359</v>
      </c>
      <c r="R61" s="39"/>
      <c r="S61" s="39"/>
      <c r="T61" s="39" t="s">
        <v>294</v>
      </c>
      <c r="U61" s="59"/>
      <c r="V61" s="47"/>
      <c r="W61" s="47"/>
      <c r="X61" s="45" t="s">
        <v>2</v>
      </c>
      <c r="Y61" s="44"/>
      <c r="Z61" s="44"/>
      <c r="AA61" s="44"/>
      <c r="AB61" s="44"/>
      <c r="AC61" s="44"/>
      <c r="AD61" s="44"/>
      <c r="AE61" s="44"/>
      <c r="AF61" s="44"/>
      <c r="AG61" s="44"/>
      <c r="AH61" s="44"/>
      <c r="AI61" s="44"/>
      <c r="AJ61" s="44"/>
      <c r="AK61" s="44"/>
      <c r="AL61" s="44"/>
    </row>
    <row r="62">
      <c r="A62" s="34" t="b">
        <v>0</v>
      </c>
      <c r="B62" s="65">
        <v>45545.0</v>
      </c>
      <c r="C62" s="18" t="s">
        <v>219</v>
      </c>
      <c r="D62" s="66" t="s">
        <v>331</v>
      </c>
      <c r="E62" s="67" t="s">
        <v>332</v>
      </c>
      <c r="F62" s="68" t="s">
        <v>333</v>
      </c>
      <c r="G62" s="69">
        <v>530000.0</v>
      </c>
      <c r="H62" s="70" t="s">
        <v>334</v>
      </c>
      <c r="I62" s="70">
        <v>5.0</v>
      </c>
      <c r="J62" s="69">
        <f t="shared" si="7"/>
        <v>26500</v>
      </c>
      <c r="K62" s="38">
        <f t="shared" si="2"/>
        <v>1325</v>
      </c>
      <c r="L62" s="71">
        <v>83.0</v>
      </c>
      <c r="M62" s="69">
        <f t="shared" si="13"/>
        <v>21995</v>
      </c>
      <c r="N62" s="38">
        <f>J62*0.05</f>
        <v>1325</v>
      </c>
      <c r="O62" s="38"/>
      <c r="P62" s="38"/>
      <c r="Q62" s="72">
        <f t="shared" ref="Q62:Q65" si="28">J62-M62-N62</f>
        <v>3180</v>
      </c>
      <c r="R62" s="69"/>
      <c r="S62" s="69"/>
      <c r="T62" s="39" t="s">
        <v>294</v>
      </c>
      <c r="U62" s="39" t="s">
        <v>335</v>
      </c>
      <c r="V62" s="39" t="s">
        <v>155</v>
      </c>
      <c r="W62" s="39" t="s">
        <v>155</v>
      </c>
      <c r="X62" s="45" t="s">
        <v>333</v>
      </c>
      <c r="Y62" s="44"/>
      <c r="Z62" s="44"/>
      <c r="AA62" s="44"/>
      <c r="AB62" s="44"/>
      <c r="AC62" s="44"/>
      <c r="AD62" s="44"/>
      <c r="AE62" s="44"/>
      <c r="AF62" s="44"/>
      <c r="AG62" s="44"/>
      <c r="AH62" s="44"/>
      <c r="AI62" s="44"/>
      <c r="AJ62" s="44"/>
      <c r="AK62" s="44"/>
      <c r="AL62" s="44"/>
    </row>
    <row r="63" hidden="1">
      <c r="A63" s="34" t="b">
        <v>0</v>
      </c>
      <c r="B63" s="35">
        <v>45545.0</v>
      </c>
      <c r="C63" s="18" t="s">
        <v>150</v>
      </c>
      <c r="D63" s="37" t="s">
        <v>336</v>
      </c>
      <c r="E63" s="37" t="s">
        <v>237</v>
      </c>
      <c r="F63" s="37" t="s">
        <v>292</v>
      </c>
      <c r="G63" s="38">
        <v>620000.0</v>
      </c>
      <c r="H63" s="39" t="s">
        <v>337</v>
      </c>
      <c r="I63" s="39">
        <v>5.0</v>
      </c>
      <c r="J63" s="38">
        <f t="shared" si="7"/>
        <v>31000</v>
      </c>
      <c r="K63" s="38">
        <f t="shared" si="2"/>
        <v>1550</v>
      </c>
      <c r="L63" s="39">
        <v>88.0</v>
      </c>
      <c r="M63" s="38">
        <f t="shared" si="13"/>
        <v>27280</v>
      </c>
      <c r="N63" s="38">
        <f t="shared" ref="N63:N66" si="29">J63*0.01</f>
        <v>310</v>
      </c>
      <c r="O63" s="38">
        <f t="shared" ref="O63:O66" si="30">J63*0.01</f>
        <v>310</v>
      </c>
      <c r="P63" s="38"/>
      <c r="Q63" s="40">
        <f t="shared" si="28"/>
        <v>3410</v>
      </c>
      <c r="R63" s="39"/>
      <c r="S63" s="49">
        <v>45661.0</v>
      </c>
      <c r="T63" s="39" t="s">
        <v>338</v>
      </c>
      <c r="U63" s="59"/>
      <c r="V63" s="51"/>
      <c r="W63" s="51"/>
      <c r="X63" s="55" t="s">
        <v>2</v>
      </c>
      <c r="Y63" s="44"/>
      <c r="Z63" s="44"/>
      <c r="AA63" s="44"/>
      <c r="AB63" s="44"/>
      <c r="AC63" s="44"/>
      <c r="AD63" s="44"/>
      <c r="AE63" s="44"/>
      <c r="AF63" s="44"/>
      <c r="AG63" s="44"/>
      <c r="AH63" s="44"/>
      <c r="AI63" s="44"/>
      <c r="AJ63" s="44"/>
      <c r="AK63" s="44"/>
      <c r="AL63" s="44"/>
    </row>
    <row r="64" hidden="1">
      <c r="A64" s="34" t="b">
        <v>0</v>
      </c>
      <c r="B64" s="35">
        <v>45555.0</v>
      </c>
      <c r="C64" s="18" t="s">
        <v>150</v>
      </c>
      <c r="D64" s="37" t="s">
        <v>339</v>
      </c>
      <c r="E64" s="37" t="s">
        <v>237</v>
      </c>
      <c r="F64" s="37" t="s">
        <v>292</v>
      </c>
      <c r="G64" s="38">
        <v>665000.0</v>
      </c>
      <c r="H64" s="39" t="s">
        <v>340</v>
      </c>
      <c r="I64" s="39">
        <v>5.0</v>
      </c>
      <c r="J64" s="38">
        <f t="shared" si="7"/>
        <v>33250</v>
      </c>
      <c r="K64" s="38">
        <f t="shared" si="2"/>
        <v>1662.5</v>
      </c>
      <c r="L64" s="39">
        <v>88.0</v>
      </c>
      <c r="M64" s="38">
        <f t="shared" si="13"/>
        <v>29260</v>
      </c>
      <c r="N64" s="38">
        <f t="shared" si="29"/>
        <v>332.5</v>
      </c>
      <c r="O64" s="38">
        <f t="shared" si="30"/>
        <v>332.5</v>
      </c>
      <c r="P64" s="38"/>
      <c r="Q64" s="40">
        <f t="shared" si="28"/>
        <v>3657.5</v>
      </c>
      <c r="R64" s="39"/>
      <c r="S64" s="49">
        <v>45661.0</v>
      </c>
      <c r="T64" s="39" t="s">
        <v>338</v>
      </c>
      <c r="U64" s="59"/>
      <c r="V64" s="51"/>
      <c r="W64" s="51"/>
      <c r="X64" s="55" t="s">
        <v>2</v>
      </c>
      <c r="Y64" s="73"/>
      <c r="Z64" s="73"/>
      <c r="AA64" s="73"/>
      <c r="AB64" s="74"/>
      <c r="AC64" s="74"/>
      <c r="AD64" s="74"/>
      <c r="AE64" s="74"/>
      <c r="AF64" s="74"/>
      <c r="AG64" s="44"/>
      <c r="AH64" s="44"/>
      <c r="AI64" s="44"/>
      <c r="AJ64" s="44"/>
      <c r="AK64" s="44"/>
      <c r="AL64" s="44"/>
    </row>
    <row r="65" hidden="1">
      <c r="A65" s="34" t="b">
        <v>0</v>
      </c>
      <c r="B65" s="35">
        <v>45564.0</v>
      </c>
      <c r="C65" s="18" t="s">
        <v>150</v>
      </c>
      <c r="D65" s="37" t="s">
        <v>341</v>
      </c>
      <c r="E65" s="37" t="s">
        <v>342</v>
      </c>
      <c r="F65" s="37" t="s">
        <v>343</v>
      </c>
      <c r="G65" s="38">
        <v>1246181.0</v>
      </c>
      <c r="H65" s="39" t="s">
        <v>307</v>
      </c>
      <c r="I65" s="39">
        <v>5.0</v>
      </c>
      <c r="J65" s="38">
        <f t="shared" si="7"/>
        <v>62309.05</v>
      </c>
      <c r="K65" s="38">
        <f t="shared" si="2"/>
        <v>3115.4525</v>
      </c>
      <c r="L65" s="39">
        <v>88.0</v>
      </c>
      <c r="M65" s="38">
        <f t="shared" si="13"/>
        <v>54831.964</v>
      </c>
      <c r="N65" s="38">
        <f t="shared" si="29"/>
        <v>623.0905</v>
      </c>
      <c r="O65" s="38">
        <f t="shared" si="30"/>
        <v>623.0905</v>
      </c>
      <c r="P65" s="38"/>
      <c r="Q65" s="40">
        <f t="shared" si="28"/>
        <v>6853.9955</v>
      </c>
      <c r="R65" s="39"/>
      <c r="S65" s="35">
        <v>45636.0</v>
      </c>
      <c r="T65" s="39" t="s">
        <v>344</v>
      </c>
      <c r="U65" s="47"/>
      <c r="V65" s="47"/>
      <c r="W65" s="47"/>
      <c r="X65" s="45" t="s">
        <v>2</v>
      </c>
      <c r="Y65" s="53"/>
      <c r="Z65" s="53"/>
      <c r="AA65" s="53"/>
      <c r="AB65" s="53"/>
      <c r="AC65" s="53"/>
      <c r="AD65" s="53"/>
      <c r="AE65" s="53"/>
      <c r="AF65" s="53"/>
      <c r="AG65" s="53"/>
      <c r="AH65" s="53"/>
      <c r="AI65" s="53"/>
      <c r="AJ65" s="53"/>
      <c r="AK65" s="53"/>
      <c r="AL65" s="53"/>
    </row>
    <row r="66" hidden="1">
      <c r="A66" s="34" t="b">
        <v>0</v>
      </c>
      <c r="B66" s="35">
        <v>45564.0</v>
      </c>
      <c r="C66" s="18" t="s">
        <v>150</v>
      </c>
      <c r="D66" s="37" t="s">
        <v>345</v>
      </c>
      <c r="E66" s="37" t="s">
        <v>851</v>
      </c>
      <c r="F66" s="37" t="s">
        <v>343</v>
      </c>
      <c r="G66" s="38">
        <v>1317773.0</v>
      </c>
      <c r="H66" s="39" t="s">
        <v>307</v>
      </c>
      <c r="I66" s="39">
        <v>5.0</v>
      </c>
      <c r="J66" s="38">
        <f t="shared" si="7"/>
        <v>65888.65</v>
      </c>
      <c r="K66" s="38">
        <f t="shared" si="2"/>
        <v>3294.4325</v>
      </c>
      <c r="L66" s="39">
        <v>88.0</v>
      </c>
      <c r="M66" s="38">
        <f t="shared" si="13"/>
        <v>57982.012</v>
      </c>
      <c r="N66" s="38">
        <f t="shared" si="29"/>
        <v>658.8865</v>
      </c>
      <c r="O66" s="38">
        <f t="shared" si="30"/>
        <v>658.8865</v>
      </c>
      <c r="P66" s="38">
        <f>J66*0.015</f>
        <v>988.32975</v>
      </c>
      <c r="Q66" s="40">
        <f>J66-M66-N66-P66</f>
        <v>6259.42175</v>
      </c>
      <c r="R66" s="39"/>
      <c r="S66" s="35">
        <v>45611.0</v>
      </c>
      <c r="T66" s="39" t="s">
        <v>347</v>
      </c>
      <c r="U66" s="47"/>
      <c r="V66" s="39" t="s">
        <v>155</v>
      </c>
      <c r="W66" s="47"/>
      <c r="X66" s="45" t="s">
        <v>2</v>
      </c>
      <c r="Y66" s="44"/>
      <c r="Z66" s="44"/>
      <c r="AA66" s="44"/>
      <c r="AB66" s="44"/>
      <c r="AC66" s="44"/>
      <c r="AD66" s="44"/>
      <c r="AE66" s="44"/>
      <c r="AF66" s="44"/>
      <c r="AG66" s="44"/>
      <c r="AH66" s="44"/>
      <c r="AI66" s="44"/>
      <c r="AJ66" s="44"/>
      <c r="AK66" s="44"/>
      <c r="AL66" s="44"/>
    </row>
    <row r="67" hidden="1">
      <c r="A67" s="34" t="b">
        <v>0</v>
      </c>
      <c r="B67" s="35">
        <v>45566.0</v>
      </c>
      <c r="C67" s="18" t="s">
        <v>150</v>
      </c>
      <c r="D67" s="37" t="s">
        <v>348</v>
      </c>
      <c r="E67" s="60" t="s">
        <v>200</v>
      </c>
      <c r="F67" s="75" t="s">
        <v>349</v>
      </c>
      <c r="G67" s="38">
        <v>1119734.0</v>
      </c>
      <c r="H67" s="39" t="s">
        <v>215</v>
      </c>
      <c r="I67" s="39">
        <v>6.0</v>
      </c>
      <c r="J67" s="38">
        <f t="shared" si="7"/>
        <v>67184.04</v>
      </c>
      <c r="K67" s="38">
        <f t="shared" si="2"/>
        <v>3359.202</v>
      </c>
      <c r="L67" s="39">
        <v>80.0</v>
      </c>
      <c r="M67" s="38">
        <f t="shared" si="13"/>
        <v>53747.232</v>
      </c>
      <c r="N67" s="38">
        <f>J67*0.105</f>
        <v>7054.3242</v>
      </c>
      <c r="O67" s="38"/>
      <c r="P67" s="38"/>
      <c r="Q67" s="40">
        <f t="shared" ref="Q67:Q76" si="31">J67-M67-N67</f>
        <v>6382.4838</v>
      </c>
      <c r="R67" s="39"/>
      <c r="S67" s="49">
        <v>45706.0</v>
      </c>
      <c r="T67" s="39" t="s">
        <v>350</v>
      </c>
      <c r="U67" s="47"/>
      <c r="V67" s="47"/>
      <c r="W67" s="47"/>
      <c r="X67" s="45" t="s">
        <v>315</v>
      </c>
      <c r="Y67" s="44"/>
      <c r="Z67" s="44"/>
      <c r="AA67" s="44"/>
      <c r="AB67" s="44"/>
      <c r="AC67" s="44"/>
      <c r="AD67" s="44"/>
      <c r="AE67" s="44"/>
      <c r="AF67" s="44"/>
      <c r="AG67" s="44"/>
      <c r="AH67" s="44"/>
      <c r="AI67" s="44"/>
      <c r="AJ67" s="44"/>
      <c r="AK67" s="44"/>
      <c r="AL67" s="44"/>
    </row>
    <row r="68" hidden="1">
      <c r="A68" s="34" t="b">
        <v>0</v>
      </c>
      <c r="B68" s="35">
        <v>45570.0</v>
      </c>
      <c r="C68" s="39" t="s">
        <v>150</v>
      </c>
      <c r="D68" s="37" t="s">
        <v>351</v>
      </c>
      <c r="E68" s="60" t="s">
        <v>201</v>
      </c>
      <c r="F68" s="75"/>
      <c r="G68" s="38">
        <v>655614.0</v>
      </c>
      <c r="H68" s="39" t="s">
        <v>284</v>
      </c>
      <c r="I68" s="39">
        <v>3.0</v>
      </c>
      <c r="J68" s="38">
        <f t="shared" si="7"/>
        <v>19668.42</v>
      </c>
      <c r="K68" s="38">
        <f t="shared" si="2"/>
        <v>983.421</v>
      </c>
      <c r="L68" s="39">
        <v>88.0</v>
      </c>
      <c r="M68" s="38">
        <f t="shared" si="13"/>
        <v>17308.2096</v>
      </c>
      <c r="N68" s="38"/>
      <c r="O68" s="38"/>
      <c r="P68" s="38"/>
      <c r="Q68" s="40">
        <f t="shared" si="31"/>
        <v>2360.2104</v>
      </c>
      <c r="R68" s="39"/>
      <c r="S68" s="49">
        <v>45720.0</v>
      </c>
      <c r="T68" s="39" t="s">
        <v>352</v>
      </c>
      <c r="U68" s="39" t="s">
        <v>353</v>
      </c>
      <c r="V68" s="47"/>
      <c r="W68" s="47"/>
      <c r="X68" s="45"/>
      <c r="Y68" s="44"/>
      <c r="Z68" s="44"/>
      <c r="AA68" s="44"/>
      <c r="AB68" s="44"/>
      <c r="AC68" s="44"/>
      <c r="AD68" s="44"/>
      <c r="AE68" s="44"/>
      <c r="AF68" s="44"/>
      <c r="AG68" s="44"/>
      <c r="AH68" s="44"/>
      <c r="AI68" s="44"/>
      <c r="AJ68" s="44"/>
      <c r="AK68" s="44"/>
      <c r="AL68" s="44"/>
    </row>
    <row r="69" hidden="1">
      <c r="A69" s="34" t="b">
        <v>0</v>
      </c>
      <c r="B69" s="46">
        <v>45579.0</v>
      </c>
      <c r="C69" s="18" t="s">
        <v>219</v>
      </c>
      <c r="D69" s="37" t="s">
        <v>354</v>
      </c>
      <c r="E69" s="37" t="s">
        <v>355</v>
      </c>
      <c r="F69" s="37" t="s">
        <v>356</v>
      </c>
      <c r="G69" s="38">
        <v>1150163.0</v>
      </c>
      <c r="H69" s="39" t="s">
        <v>357</v>
      </c>
      <c r="I69" s="39">
        <v>5.0</v>
      </c>
      <c r="J69" s="38">
        <f t="shared" si="7"/>
        <v>57508.15</v>
      </c>
      <c r="K69" s="38">
        <f t="shared" si="2"/>
        <v>2875.4075</v>
      </c>
      <c r="L69" s="39">
        <v>83.0</v>
      </c>
      <c r="M69" s="38">
        <f t="shared" si="13"/>
        <v>47731.7645</v>
      </c>
      <c r="N69" s="38">
        <f>J69*0.05</f>
        <v>2875.4075</v>
      </c>
      <c r="O69" s="38"/>
      <c r="P69" s="38"/>
      <c r="Q69" s="40">
        <f t="shared" si="31"/>
        <v>6900.978</v>
      </c>
      <c r="R69" s="39"/>
      <c r="S69" s="49">
        <v>45687.0</v>
      </c>
      <c r="T69" s="39" t="s">
        <v>358</v>
      </c>
      <c r="U69" s="39" t="s">
        <v>335</v>
      </c>
      <c r="V69" s="39" t="s">
        <v>155</v>
      </c>
      <c r="W69" s="39" t="s">
        <v>155</v>
      </c>
      <c r="X69" s="45" t="s">
        <v>356</v>
      </c>
    </row>
    <row r="70" hidden="1">
      <c r="A70" s="34" t="b">
        <v>0</v>
      </c>
      <c r="B70" s="35">
        <v>45579.0</v>
      </c>
      <c r="C70" s="18" t="s">
        <v>150</v>
      </c>
      <c r="D70" s="37" t="s">
        <v>359</v>
      </c>
      <c r="E70" s="37" t="s">
        <v>360</v>
      </c>
      <c r="F70" s="37" t="s">
        <v>44</v>
      </c>
      <c r="G70" s="38">
        <v>1363070.0</v>
      </c>
      <c r="H70" s="39" t="s">
        <v>361</v>
      </c>
      <c r="I70" s="39">
        <v>6.0</v>
      </c>
      <c r="J70" s="38">
        <f t="shared" si="7"/>
        <v>81784.2</v>
      </c>
      <c r="K70" s="38">
        <f t="shared" si="2"/>
        <v>4089.21</v>
      </c>
      <c r="L70" s="39">
        <v>88.0</v>
      </c>
      <c r="M70" s="38">
        <f t="shared" si="13"/>
        <v>71970.096</v>
      </c>
      <c r="N70" s="38">
        <f t="shared" ref="N70:N71" si="32">J70*0.01</f>
        <v>817.842</v>
      </c>
      <c r="O70" s="38"/>
      <c r="P70" s="38"/>
      <c r="Q70" s="40">
        <f t="shared" si="31"/>
        <v>8996.262</v>
      </c>
      <c r="R70" s="39"/>
      <c r="S70" s="49">
        <v>45633.0</v>
      </c>
      <c r="T70" s="39" t="s">
        <v>362</v>
      </c>
      <c r="U70" s="47"/>
      <c r="V70" s="39" t="s">
        <v>363</v>
      </c>
      <c r="W70" s="47"/>
      <c r="X70" s="45" t="s">
        <v>2</v>
      </c>
      <c r="Y70" s="44"/>
      <c r="Z70" s="44"/>
      <c r="AA70" s="44"/>
      <c r="AB70" s="44"/>
      <c r="AC70" s="44"/>
      <c r="AD70" s="44"/>
      <c r="AE70" s="44"/>
      <c r="AF70" s="44"/>
      <c r="AG70" s="44"/>
      <c r="AH70" s="44"/>
      <c r="AI70" s="44"/>
      <c r="AJ70" s="44"/>
      <c r="AK70" s="44"/>
      <c r="AL70" s="44"/>
    </row>
    <row r="71" hidden="1">
      <c r="A71" s="34" t="b">
        <v>0</v>
      </c>
      <c r="B71" s="46">
        <v>45579.0</v>
      </c>
      <c r="C71" s="18" t="s">
        <v>150</v>
      </c>
      <c r="D71" s="37" t="s">
        <v>364</v>
      </c>
      <c r="E71" s="37" t="s">
        <v>360</v>
      </c>
      <c r="F71" s="37" t="s">
        <v>44</v>
      </c>
      <c r="G71" s="38">
        <v>1982000.0</v>
      </c>
      <c r="H71" s="39" t="s">
        <v>365</v>
      </c>
      <c r="I71" s="39">
        <v>5.0</v>
      </c>
      <c r="J71" s="38">
        <f t="shared" si="7"/>
        <v>99100</v>
      </c>
      <c r="K71" s="38">
        <f t="shared" si="2"/>
        <v>4955</v>
      </c>
      <c r="L71" s="39">
        <v>88.0</v>
      </c>
      <c r="M71" s="38">
        <f t="shared" si="13"/>
        <v>87208</v>
      </c>
      <c r="N71" s="38">
        <f t="shared" si="32"/>
        <v>991</v>
      </c>
      <c r="O71" s="38"/>
      <c r="P71" s="38"/>
      <c r="Q71" s="40">
        <f t="shared" si="31"/>
        <v>10901</v>
      </c>
      <c r="R71" s="39"/>
      <c r="S71" s="49">
        <v>45667.0</v>
      </c>
      <c r="T71" s="39" t="s">
        <v>366</v>
      </c>
      <c r="U71" s="47"/>
      <c r="V71" s="47"/>
      <c r="W71" s="47"/>
      <c r="X71" s="45" t="s">
        <v>2</v>
      </c>
      <c r="Y71" s="44"/>
      <c r="Z71" s="44"/>
      <c r="AA71" s="44"/>
      <c r="AB71" s="44"/>
      <c r="AC71" s="44"/>
      <c r="AD71" s="44"/>
      <c r="AE71" s="44"/>
      <c r="AF71" s="44"/>
      <c r="AG71" s="44"/>
      <c r="AH71" s="44"/>
      <c r="AI71" s="44"/>
      <c r="AJ71" s="44"/>
      <c r="AK71" s="44"/>
      <c r="AL71" s="44"/>
    </row>
    <row r="72" hidden="1">
      <c r="A72" s="34" t="b">
        <v>0</v>
      </c>
      <c r="B72" s="46">
        <v>45583.0</v>
      </c>
      <c r="C72" s="18" t="s">
        <v>150</v>
      </c>
      <c r="D72" s="37" t="s">
        <v>367</v>
      </c>
      <c r="E72" s="37" t="s">
        <v>200</v>
      </c>
      <c r="F72" s="75" t="s">
        <v>368</v>
      </c>
      <c r="G72" s="38">
        <v>697000.0</v>
      </c>
      <c r="H72" s="39" t="s">
        <v>227</v>
      </c>
      <c r="I72" s="39">
        <v>5.0</v>
      </c>
      <c r="J72" s="38">
        <f t="shared" si="7"/>
        <v>34850</v>
      </c>
      <c r="K72" s="38">
        <f t="shared" si="2"/>
        <v>1742.5</v>
      </c>
      <c r="L72" s="39">
        <v>70.0</v>
      </c>
      <c r="M72" s="38">
        <f t="shared" si="13"/>
        <v>24395</v>
      </c>
      <c r="N72" s="38">
        <f>J72*0.19</f>
        <v>6621.5</v>
      </c>
      <c r="O72" s="38"/>
      <c r="P72" s="38"/>
      <c r="Q72" s="40">
        <f t="shared" si="31"/>
        <v>3833.5</v>
      </c>
      <c r="R72" s="39"/>
      <c r="S72" s="35">
        <v>45650.0</v>
      </c>
      <c r="T72" s="39" t="s">
        <v>369</v>
      </c>
      <c r="U72" s="51"/>
      <c r="V72" s="51"/>
      <c r="W72" s="51"/>
      <c r="X72" s="55" t="s">
        <v>315</v>
      </c>
      <c r="Y72" s="44"/>
      <c r="Z72" s="44"/>
      <c r="AA72" s="44"/>
      <c r="AB72" s="44"/>
      <c r="AC72" s="44"/>
      <c r="AD72" s="44"/>
      <c r="AE72" s="44"/>
      <c r="AF72" s="44"/>
      <c r="AG72" s="44"/>
      <c r="AH72" s="44"/>
      <c r="AI72" s="44"/>
      <c r="AJ72" s="44"/>
      <c r="AK72" s="44"/>
      <c r="AL72" s="44"/>
    </row>
    <row r="73" hidden="1">
      <c r="A73" s="34" t="b">
        <v>0</v>
      </c>
      <c r="B73" s="46">
        <v>45586.0</v>
      </c>
      <c r="C73" s="39" t="s">
        <v>219</v>
      </c>
      <c r="D73" s="37" t="s">
        <v>370</v>
      </c>
      <c r="E73" s="37" t="s">
        <v>371</v>
      </c>
      <c r="F73" s="37" t="s">
        <v>222</v>
      </c>
      <c r="G73" s="38">
        <v>660501.0</v>
      </c>
      <c r="H73" s="39" t="s">
        <v>372</v>
      </c>
      <c r="I73" s="39">
        <v>5.0</v>
      </c>
      <c r="J73" s="38">
        <f t="shared" si="7"/>
        <v>33025.05</v>
      </c>
      <c r="K73" s="38">
        <f t="shared" si="2"/>
        <v>1651.2525</v>
      </c>
      <c r="L73" s="39">
        <v>50.0</v>
      </c>
      <c r="M73" s="38">
        <f t="shared" si="13"/>
        <v>16512.525</v>
      </c>
      <c r="N73" s="38"/>
      <c r="O73" s="38"/>
      <c r="P73" s="38"/>
      <c r="Q73" s="40">
        <f t="shared" si="31"/>
        <v>16512.525</v>
      </c>
      <c r="R73" s="49">
        <v>45741.0</v>
      </c>
      <c r="S73" s="49">
        <v>45771.0</v>
      </c>
      <c r="T73" s="39" t="s">
        <v>373</v>
      </c>
      <c r="U73" s="39" t="s">
        <v>374</v>
      </c>
      <c r="V73" s="47"/>
      <c r="W73" s="47"/>
      <c r="X73" s="45" t="s">
        <v>375</v>
      </c>
      <c r="Y73" s="44"/>
      <c r="Z73" s="53"/>
      <c r="AA73" s="53"/>
      <c r="AB73" s="53"/>
      <c r="AC73" s="53"/>
      <c r="AD73" s="53"/>
      <c r="AE73" s="53"/>
      <c r="AF73" s="53"/>
      <c r="AG73" s="53"/>
      <c r="AH73" s="53"/>
      <c r="AI73" s="53"/>
      <c r="AJ73" s="53"/>
      <c r="AK73" s="53"/>
      <c r="AL73" s="53"/>
    </row>
    <row r="74" hidden="1">
      <c r="A74" s="34" t="b">
        <v>0</v>
      </c>
      <c r="B74" s="46">
        <v>45586.0</v>
      </c>
      <c r="C74" s="18" t="s">
        <v>150</v>
      </c>
      <c r="D74" s="37" t="s">
        <v>376</v>
      </c>
      <c r="E74" s="37" t="s">
        <v>342</v>
      </c>
      <c r="F74" s="37" t="s">
        <v>343</v>
      </c>
      <c r="G74" s="38">
        <v>2449524.0</v>
      </c>
      <c r="H74" s="39" t="s">
        <v>185</v>
      </c>
      <c r="I74" s="39">
        <v>5.0</v>
      </c>
      <c r="J74" s="38">
        <f t="shared" si="7"/>
        <v>122476.2</v>
      </c>
      <c r="K74" s="38">
        <f t="shared" si="2"/>
        <v>6123.81</v>
      </c>
      <c r="L74" s="39">
        <v>88.0</v>
      </c>
      <c r="M74" s="38">
        <f t="shared" si="13"/>
        <v>107779.056</v>
      </c>
      <c r="N74" s="38">
        <f>J74*0.01</f>
        <v>1224.762</v>
      </c>
      <c r="O74" s="38">
        <f>J74*0.01</f>
        <v>1224.762</v>
      </c>
      <c r="P74" s="38">
        <f>J74*0.015</f>
        <v>1837.143</v>
      </c>
      <c r="Q74" s="40">
        <f t="shared" si="31"/>
        <v>13472.382</v>
      </c>
      <c r="R74" s="39"/>
      <c r="S74" s="35">
        <v>45616.0</v>
      </c>
      <c r="T74" s="39" t="s">
        <v>377</v>
      </c>
      <c r="U74" s="39"/>
      <c r="V74" s="39" t="s">
        <v>378</v>
      </c>
      <c r="W74" s="47"/>
      <c r="X74" s="45" t="s">
        <v>295</v>
      </c>
      <c r="Y74" s="53"/>
      <c r="Z74" s="44"/>
      <c r="AA74" s="44"/>
      <c r="AB74" s="44"/>
      <c r="AC74" s="44"/>
      <c r="AD74" s="44"/>
      <c r="AE74" s="44"/>
      <c r="AF74" s="44"/>
      <c r="AG74" s="44"/>
      <c r="AH74" s="44"/>
      <c r="AI74" s="44"/>
      <c r="AJ74" s="44"/>
      <c r="AK74" s="44"/>
      <c r="AL74" s="44"/>
    </row>
    <row r="75" hidden="1">
      <c r="A75" s="34" t="b">
        <v>0</v>
      </c>
      <c r="B75" s="76">
        <v>45595.0</v>
      </c>
      <c r="C75" s="39" t="s">
        <v>150</v>
      </c>
      <c r="D75" s="56" t="s">
        <v>379</v>
      </c>
      <c r="E75" s="76" t="s">
        <v>380</v>
      </c>
      <c r="F75" s="76" t="s">
        <v>375</v>
      </c>
      <c r="G75" s="38">
        <v>745734.0</v>
      </c>
      <c r="H75" s="76" t="s">
        <v>279</v>
      </c>
      <c r="I75" s="39">
        <v>6.0</v>
      </c>
      <c r="J75" s="38">
        <f t="shared" si="7"/>
        <v>44744.04</v>
      </c>
      <c r="K75" s="38">
        <f t="shared" si="2"/>
        <v>2237.202</v>
      </c>
      <c r="L75" s="39">
        <v>88.0</v>
      </c>
      <c r="M75" s="38">
        <f t="shared" si="13"/>
        <v>39374.7552</v>
      </c>
      <c r="N75" s="69">
        <f t="shared" ref="N75:N76" si="33">J75*0.022</f>
        <v>984.36888</v>
      </c>
      <c r="O75" s="69"/>
      <c r="P75" s="69"/>
      <c r="Q75" s="72">
        <f t="shared" si="31"/>
        <v>4384.91592</v>
      </c>
      <c r="R75" s="77">
        <v>45784.0</v>
      </c>
      <c r="S75" s="78">
        <v>45952.0</v>
      </c>
      <c r="T75" s="39"/>
      <c r="U75" s="47"/>
      <c r="V75" s="47"/>
      <c r="W75" s="47"/>
      <c r="X75" s="37"/>
      <c r="Y75" s="44"/>
      <c r="Z75" s="44"/>
      <c r="AA75" s="44"/>
      <c r="AB75" s="44"/>
      <c r="AC75" s="44"/>
      <c r="AD75" s="44"/>
      <c r="AE75" s="44"/>
      <c r="AF75" s="44"/>
      <c r="AG75" s="44"/>
      <c r="AH75" s="44"/>
      <c r="AI75" s="44"/>
      <c r="AJ75" s="44"/>
      <c r="AK75" s="44"/>
      <c r="AL75" s="44"/>
    </row>
    <row r="76" hidden="1">
      <c r="A76" s="34" t="b">
        <v>0</v>
      </c>
      <c r="B76" s="76">
        <v>45595.0</v>
      </c>
      <c r="C76" s="39" t="s">
        <v>150</v>
      </c>
      <c r="D76" s="56" t="s">
        <v>379</v>
      </c>
      <c r="E76" s="76" t="s">
        <v>380</v>
      </c>
      <c r="F76" s="76" t="s">
        <v>375</v>
      </c>
      <c r="G76" s="38">
        <v>1342315.0</v>
      </c>
      <c r="H76" s="76" t="s">
        <v>279</v>
      </c>
      <c r="I76" s="39">
        <v>6.0</v>
      </c>
      <c r="J76" s="38">
        <f t="shared" si="7"/>
        <v>80538.9</v>
      </c>
      <c r="K76" s="38">
        <f t="shared" si="2"/>
        <v>4026.945</v>
      </c>
      <c r="L76" s="39">
        <v>88.0</v>
      </c>
      <c r="M76" s="38">
        <f t="shared" si="13"/>
        <v>70874.232</v>
      </c>
      <c r="N76" s="69">
        <f t="shared" si="33"/>
        <v>1771.8558</v>
      </c>
      <c r="O76" s="69"/>
      <c r="P76" s="69"/>
      <c r="Q76" s="72">
        <f t="shared" si="31"/>
        <v>7892.8122</v>
      </c>
      <c r="R76" s="77">
        <v>45783.0</v>
      </c>
      <c r="S76" s="77">
        <v>45812.0</v>
      </c>
      <c r="T76" s="39"/>
      <c r="U76" s="47"/>
      <c r="V76" s="47"/>
      <c r="W76" s="47"/>
      <c r="X76" s="37" t="s">
        <v>371</v>
      </c>
      <c r="Y76" s="44"/>
      <c r="Z76" s="44"/>
      <c r="AA76" s="44"/>
      <c r="AB76" s="44"/>
      <c r="AC76" s="44"/>
      <c r="AD76" s="44"/>
      <c r="AE76" s="44"/>
      <c r="AF76" s="44"/>
      <c r="AG76" s="44"/>
      <c r="AH76" s="44"/>
      <c r="AI76" s="44"/>
      <c r="AJ76" s="44"/>
      <c r="AK76" s="44"/>
      <c r="AL76" s="44"/>
    </row>
    <row r="77">
      <c r="A77" s="34" t="b">
        <v>0</v>
      </c>
      <c r="B77" s="46">
        <v>45597.0</v>
      </c>
      <c r="C77" s="18" t="s">
        <v>150</v>
      </c>
      <c r="D77" s="37" t="s">
        <v>381</v>
      </c>
      <c r="E77" s="37" t="s">
        <v>329</v>
      </c>
      <c r="F77" s="37" t="s">
        <v>330</v>
      </c>
      <c r="G77" s="38">
        <v>629630.31</v>
      </c>
      <c r="H77" s="39" t="s">
        <v>238</v>
      </c>
      <c r="I77" s="39">
        <v>5.0</v>
      </c>
      <c r="J77" s="38">
        <f t="shared" si="7"/>
        <v>31481.5155</v>
      </c>
      <c r="K77" s="38">
        <f t="shared" si="2"/>
        <v>1574.075775</v>
      </c>
      <c r="L77" s="39">
        <v>88.0</v>
      </c>
      <c r="M77" s="38">
        <f t="shared" si="13"/>
        <v>27703.73364</v>
      </c>
      <c r="N77" s="38">
        <f>J77*0.01</f>
        <v>314.815155</v>
      </c>
      <c r="O77" s="38">
        <f>J77*0.01</f>
        <v>314.815155</v>
      </c>
      <c r="P77" s="38">
        <f>J77*0.015</f>
        <v>472.2227325</v>
      </c>
      <c r="Q77" s="40">
        <f>J77-M77-N77-P77</f>
        <v>2990.743973</v>
      </c>
      <c r="R77" s="39"/>
      <c r="S77" s="39"/>
      <c r="T77" s="39" t="s">
        <v>382</v>
      </c>
      <c r="U77" s="47"/>
      <c r="V77" s="47"/>
      <c r="W77" s="47"/>
      <c r="X77" s="45" t="s">
        <v>315</v>
      </c>
      <c r="Y77" s="44"/>
      <c r="Z77" s="44"/>
      <c r="AA77" s="44"/>
      <c r="AB77" s="44"/>
      <c r="AC77" s="44"/>
      <c r="AD77" s="44"/>
      <c r="AE77" s="44"/>
      <c r="AF77" s="44"/>
      <c r="AG77" s="44"/>
      <c r="AH77" s="44"/>
      <c r="AI77" s="44"/>
      <c r="AJ77" s="44"/>
      <c r="AK77" s="44"/>
      <c r="AL77" s="44"/>
    </row>
    <row r="78" hidden="1">
      <c r="A78" s="34" t="b">
        <v>0</v>
      </c>
      <c r="B78" s="46">
        <v>45597.0</v>
      </c>
      <c r="C78" s="18" t="s">
        <v>150</v>
      </c>
      <c r="D78" s="37" t="s">
        <v>383</v>
      </c>
      <c r="E78" s="37" t="s">
        <v>200</v>
      </c>
      <c r="F78" s="75" t="s">
        <v>312</v>
      </c>
      <c r="G78" s="38">
        <v>975009.0</v>
      </c>
      <c r="H78" s="39" t="s">
        <v>384</v>
      </c>
      <c r="I78" s="39">
        <v>5.0</v>
      </c>
      <c r="J78" s="38">
        <f t="shared" si="7"/>
        <v>48750.45</v>
      </c>
      <c r="K78" s="38">
        <f t="shared" si="2"/>
        <v>2437.5225</v>
      </c>
      <c r="L78" s="39">
        <v>80.0</v>
      </c>
      <c r="M78" s="38">
        <f t="shared" si="13"/>
        <v>39000.36</v>
      </c>
      <c r="N78" s="38">
        <f>J78*0.09</f>
        <v>4387.5405</v>
      </c>
      <c r="O78" s="38"/>
      <c r="P78" s="38"/>
      <c r="Q78" s="40">
        <f t="shared" ref="Q78:Q89" si="34">J78-M78-N78</f>
        <v>5362.5495</v>
      </c>
      <c r="R78" s="39"/>
      <c r="S78" s="49">
        <v>45631.0</v>
      </c>
      <c r="T78" s="39" t="s">
        <v>385</v>
      </c>
      <c r="U78" s="39" t="s">
        <v>852</v>
      </c>
      <c r="V78" s="47"/>
      <c r="W78" s="47"/>
      <c r="X78" s="45" t="s">
        <v>44</v>
      </c>
      <c r="Y78" s="53"/>
      <c r="Z78" s="53"/>
      <c r="AA78" s="53"/>
      <c r="AB78" s="53"/>
      <c r="AC78" s="53"/>
      <c r="AD78" s="53"/>
      <c r="AE78" s="53"/>
      <c r="AF78" s="53"/>
      <c r="AG78" s="53"/>
      <c r="AH78" s="53"/>
      <c r="AI78" s="53"/>
      <c r="AJ78" s="53"/>
      <c r="AK78" s="53"/>
      <c r="AL78" s="53"/>
    </row>
    <row r="79" hidden="1">
      <c r="A79" s="34" t="b">
        <v>0</v>
      </c>
      <c r="B79" s="46">
        <v>45600.0</v>
      </c>
      <c r="C79" s="18" t="s">
        <v>150</v>
      </c>
      <c r="D79" s="37" t="s">
        <v>387</v>
      </c>
      <c r="E79" s="37" t="s">
        <v>200</v>
      </c>
      <c r="F79" s="37" t="s">
        <v>388</v>
      </c>
      <c r="G79" s="38">
        <v>1428211.32</v>
      </c>
      <c r="H79" s="39" t="s">
        <v>242</v>
      </c>
      <c r="I79" s="39">
        <v>3.0</v>
      </c>
      <c r="J79" s="38">
        <f t="shared" si="7"/>
        <v>42846.3396</v>
      </c>
      <c r="K79" s="38">
        <f t="shared" si="2"/>
        <v>2142.31698</v>
      </c>
      <c r="L79" s="39">
        <v>80.0</v>
      </c>
      <c r="M79" s="38">
        <f t="shared" si="13"/>
        <v>34277.07168</v>
      </c>
      <c r="N79" s="38">
        <f t="shared" ref="N79:N81" si="35">J79*0.01</f>
        <v>428.463396</v>
      </c>
      <c r="O79" s="38"/>
      <c r="P79" s="38">
        <f>J79*0.005</f>
        <v>214.231698</v>
      </c>
      <c r="Q79" s="40">
        <f t="shared" si="34"/>
        <v>8140.804524</v>
      </c>
      <c r="R79" s="39"/>
      <c r="S79" s="35">
        <v>45615.0</v>
      </c>
      <c r="T79" s="39" t="s">
        <v>389</v>
      </c>
      <c r="U79" s="51"/>
      <c r="V79" s="51"/>
      <c r="W79" s="51"/>
      <c r="X79" s="55" t="s">
        <v>44</v>
      </c>
      <c r="Y79" s="44"/>
      <c r="Z79" s="44"/>
      <c r="AA79" s="44"/>
      <c r="AB79" s="44"/>
      <c r="AC79" s="44"/>
      <c r="AD79" s="44"/>
      <c r="AE79" s="44"/>
      <c r="AF79" s="44"/>
      <c r="AG79" s="44"/>
      <c r="AH79" s="44"/>
      <c r="AI79" s="44"/>
      <c r="AJ79" s="44"/>
      <c r="AK79" s="44"/>
      <c r="AL79" s="44"/>
    </row>
    <row r="80" hidden="1">
      <c r="A80" s="34" t="b">
        <v>0</v>
      </c>
      <c r="B80" s="46">
        <v>45600.0</v>
      </c>
      <c r="C80" s="39" t="s">
        <v>150</v>
      </c>
      <c r="D80" s="37" t="s">
        <v>390</v>
      </c>
      <c r="E80" s="37" t="s">
        <v>200</v>
      </c>
      <c r="F80" s="37" t="s">
        <v>391</v>
      </c>
      <c r="G80" s="38">
        <v>1370427.0</v>
      </c>
      <c r="H80" s="39" t="s">
        <v>242</v>
      </c>
      <c r="I80" s="39">
        <v>3.0</v>
      </c>
      <c r="J80" s="38">
        <f t="shared" si="7"/>
        <v>41112.81</v>
      </c>
      <c r="K80" s="38">
        <f t="shared" si="2"/>
        <v>2055.6405</v>
      </c>
      <c r="L80" s="39">
        <v>80.0</v>
      </c>
      <c r="M80" s="38">
        <f t="shared" si="13"/>
        <v>32890.248</v>
      </c>
      <c r="N80" s="38">
        <f t="shared" si="35"/>
        <v>411.1281</v>
      </c>
      <c r="O80" s="38"/>
      <c r="P80" s="38"/>
      <c r="Q80" s="40">
        <f t="shared" si="34"/>
        <v>7811.4339</v>
      </c>
      <c r="R80" s="39"/>
      <c r="S80" s="35">
        <v>45619.0</v>
      </c>
      <c r="T80" s="57" t="s">
        <v>392</v>
      </c>
      <c r="U80" s="47"/>
      <c r="V80" s="39" t="s">
        <v>155</v>
      </c>
      <c r="W80" s="47"/>
      <c r="X80" s="45" t="s">
        <v>44</v>
      </c>
      <c r="Y80" s="44"/>
      <c r="Z80" s="44"/>
      <c r="AA80" s="44"/>
      <c r="AB80" s="44"/>
      <c r="AC80" s="44"/>
      <c r="AD80" s="44"/>
      <c r="AE80" s="44"/>
      <c r="AF80" s="44"/>
      <c r="AG80" s="44"/>
      <c r="AH80" s="44"/>
      <c r="AI80" s="44"/>
      <c r="AJ80" s="44"/>
      <c r="AK80" s="44"/>
      <c r="AL80" s="44"/>
    </row>
    <row r="81" hidden="1">
      <c r="A81" s="34" t="b">
        <v>0</v>
      </c>
      <c r="B81" s="46">
        <v>45604.0</v>
      </c>
      <c r="C81" s="39" t="s">
        <v>150</v>
      </c>
      <c r="D81" s="56" t="s">
        <v>393</v>
      </c>
      <c r="E81" s="37" t="s">
        <v>237</v>
      </c>
      <c r="F81" s="37" t="s">
        <v>394</v>
      </c>
      <c r="G81" s="38">
        <v>1472052.0</v>
      </c>
      <c r="H81" s="39" t="s">
        <v>171</v>
      </c>
      <c r="I81" s="39">
        <v>5.0</v>
      </c>
      <c r="J81" s="38">
        <f t="shared" si="7"/>
        <v>73602.6</v>
      </c>
      <c r="K81" s="38">
        <f t="shared" si="2"/>
        <v>3680.13</v>
      </c>
      <c r="L81" s="39">
        <v>88.0</v>
      </c>
      <c r="M81" s="38">
        <f t="shared" si="13"/>
        <v>64770.288</v>
      </c>
      <c r="N81" s="38">
        <f t="shared" si="35"/>
        <v>736.026</v>
      </c>
      <c r="O81" s="38">
        <f>J81*0.01</f>
        <v>736.026</v>
      </c>
      <c r="P81" s="38"/>
      <c r="Q81" s="40">
        <f t="shared" si="34"/>
        <v>8096.286</v>
      </c>
      <c r="R81" s="61"/>
      <c r="S81" s="79">
        <v>45717.0</v>
      </c>
      <c r="T81" s="61" t="s">
        <v>395</v>
      </c>
      <c r="U81" s="39"/>
      <c r="V81" s="39" t="s">
        <v>396</v>
      </c>
      <c r="W81" s="47"/>
      <c r="X81" s="45" t="s">
        <v>295</v>
      </c>
      <c r="Y81" s="44"/>
      <c r="Z81" s="44"/>
      <c r="AA81" s="44"/>
      <c r="AB81" s="44"/>
      <c r="AC81" s="44"/>
      <c r="AD81" s="44"/>
      <c r="AE81" s="44"/>
      <c r="AF81" s="44"/>
      <c r="AG81" s="44"/>
      <c r="AH81" s="44"/>
      <c r="AI81" s="44"/>
      <c r="AJ81" s="44"/>
      <c r="AK81" s="44"/>
      <c r="AL81" s="44"/>
    </row>
    <row r="82" hidden="1">
      <c r="A82" s="34" t="b">
        <v>0</v>
      </c>
      <c r="B82" s="46">
        <v>45607.0</v>
      </c>
      <c r="C82" s="18" t="s">
        <v>219</v>
      </c>
      <c r="D82" s="60" t="s">
        <v>397</v>
      </c>
      <c r="E82" s="37" t="s">
        <v>221</v>
      </c>
      <c r="F82" s="37" t="s">
        <v>398</v>
      </c>
      <c r="G82" s="38">
        <v>659269.0</v>
      </c>
      <c r="H82" s="39" t="s">
        <v>171</v>
      </c>
      <c r="I82" s="39">
        <v>3.0</v>
      </c>
      <c r="J82" s="38">
        <f t="shared" si="7"/>
        <v>19778.07</v>
      </c>
      <c r="K82" s="38">
        <f t="shared" si="2"/>
        <v>988.9035</v>
      </c>
      <c r="L82" s="39">
        <v>83.0</v>
      </c>
      <c r="M82" s="38">
        <f t="shared" si="13"/>
        <v>16415.7981</v>
      </c>
      <c r="N82" s="38">
        <f>J82*0.05</f>
        <v>988.9035</v>
      </c>
      <c r="O82" s="38"/>
      <c r="P82" s="38"/>
      <c r="Q82" s="40">
        <f t="shared" si="34"/>
        <v>2373.3684</v>
      </c>
      <c r="R82" s="39"/>
      <c r="S82" s="35">
        <v>45653.0</v>
      </c>
      <c r="T82" s="39" t="s">
        <v>399</v>
      </c>
      <c r="U82" s="47"/>
      <c r="V82" s="47"/>
      <c r="W82" s="47"/>
      <c r="X82" s="45" t="s">
        <v>222</v>
      </c>
      <c r="Y82" s="44"/>
      <c r="Z82" s="44"/>
      <c r="AA82" s="44"/>
      <c r="AB82" s="44"/>
      <c r="AC82" s="44"/>
      <c r="AD82" s="44"/>
      <c r="AE82" s="44"/>
      <c r="AF82" s="44"/>
      <c r="AG82" s="44"/>
      <c r="AH82" s="44"/>
      <c r="AI82" s="44"/>
      <c r="AJ82" s="44"/>
      <c r="AK82" s="44"/>
      <c r="AL82" s="44"/>
    </row>
    <row r="83" hidden="1">
      <c r="A83" s="34" t="b">
        <v>0</v>
      </c>
      <c r="B83" s="46">
        <v>45608.0</v>
      </c>
      <c r="C83" s="18" t="s">
        <v>157</v>
      </c>
      <c r="D83" s="37" t="s">
        <v>400</v>
      </c>
      <c r="E83" s="37" t="s">
        <v>401</v>
      </c>
      <c r="F83" s="37" t="s">
        <v>157</v>
      </c>
      <c r="G83" s="38">
        <v>1.6266063E7</v>
      </c>
      <c r="H83" s="39" t="s">
        <v>185</v>
      </c>
      <c r="I83" s="39">
        <v>4.0</v>
      </c>
      <c r="J83" s="38">
        <f t="shared" si="7"/>
        <v>650642.52</v>
      </c>
      <c r="K83" s="38">
        <f t="shared" si="2"/>
        <v>32532.126</v>
      </c>
      <c r="L83" s="39">
        <v>90.0</v>
      </c>
      <c r="M83" s="38">
        <f t="shared" si="13"/>
        <v>585578.268</v>
      </c>
      <c r="N83" s="38"/>
      <c r="O83" s="38"/>
      <c r="P83" s="38"/>
      <c r="Q83" s="40">
        <f t="shared" si="34"/>
        <v>65064.252</v>
      </c>
      <c r="R83" s="39"/>
      <c r="S83" s="35">
        <v>45640.0</v>
      </c>
      <c r="T83" s="39" t="s">
        <v>402</v>
      </c>
      <c r="U83" s="51"/>
      <c r="V83" s="51"/>
      <c r="W83" s="51"/>
      <c r="X83" s="55" t="s">
        <v>2</v>
      </c>
      <c r="Y83" s="44"/>
      <c r="Z83" s="44"/>
      <c r="AA83" s="44"/>
      <c r="AB83" s="44"/>
      <c r="AC83" s="44"/>
      <c r="AD83" s="44"/>
      <c r="AE83" s="44"/>
      <c r="AF83" s="44"/>
      <c r="AG83" s="44"/>
      <c r="AH83" s="44"/>
      <c r="AI83" s="44"/>
      <c r="AJ83" s="44"/>
      <c r="AK83" s="44"/>
      <c r="AL83" s="44"/>
    </row>
    <row r="84" hidden="1">
      <c r="A84" s="34" t="b">
        <v>0</v>
      </c>
      <c r="B84" s="46">
        <v>45608.0</v>
      </c>
      <c r="C84" s="39" t="s">
        <v>157</v>
      </c>
      <c r="D84" s="37" t="s">
        <v>403</v>
      </c>
      <c r="E84" s="37" t="s">
        <v>404</v>
      </c>
      <c r="F84" s="37"/>
      <c r="G84" s="38">
        <v>1472743.0</v>
      </c>
      <c r="H84" s="39" t="s">
        <v>405</v>
      </c>
      <c r="I84" s="39">
        <v>4.0</v>
      </c>
      <c r="J84" s="38">
        <f t="shared" si="7"/>
        <v>58909.72</v>
      </c>
      <c r="K84" s="38">
        <f t="shared" si="2"/>
        <v>2945.486</v>
      </c>
      <c r="L84" s="39">
        <v>80.0</v>
      </c>
      <c r="M84" s="38">
        <f t="shared" si="13"/>
        <v>47127.776</v>
      </c>
      <c r="N84" s="38"/>
      <c r="O84" s="38"/>
      <c r="P84" s="38"/>
      <c r="Q84" s="40">
        <f t="shared" si="34"/>
        <v>11781.944</v>
      </c>
      <c r="R84" s="49">
        <v>45698.0</v>
      </c>
      <c r="S84" s="49">
        <v>45798.0</v>
      </c>
      <c r="T84" s="39" t="s">
        <v>406</v>
      </c>
      <c r="U84" s="47"/>
      <c r="V84" s="47"/>
      <c r="W84" s="47"/>
      <c r="X84" s="45" t="s">
        <v>2</v>
      </c>
      <c r="Y84" s="44"/>
      <c r="Z84" s="44"/>
      <c r="AA84" s="44"/>
      <c r="AB84" s="44"/>
      <c r="AC84" s="44"/>
      <c r="AD84" s="44"/>
      <c r="AE84" s="44"/>
      <c r="AF84" s="44"/>
      <c r="AG84" s="44"/>
      <c r="AH84" s="44"/>
      <c r="AI84" s="44"/>
      <c r="AJ84" s="44"/>
      <c r="AK84" s="44"/>
      <c r="AL84" s="44"/>
    </row>
    <row r="85" hidden="1">
      <c r="A85" s="34" t="b">
        <v>0</v>
      </c>
      <c r="B85" s="46">
        <v>45617.0</v>
      </c>
      <c r="C85" s="39" t="s">
        <v>157</v>
      </c>
      <c r="D85" s="37" t="s">
        <v>407</v>
      </c>
      <c r="E85" s="37" t="s">
        <v>408</v>
      </c>
      <c r="F85" s="37" t="s">
        <v>157</v>
      </c>
      <c r="G85" s="38">
        <v>3664700.0</v>
      </c>
      <c r="H85" s="39" t="s">
        <v>185</v>
      </c>
      <c r="I85" s="39">
        <v>5.0</v>
      </c>
      <c r="J85" s="38">
        <f t="shared" si="7"/>
        <v>183235</v>
      </c>
      <c r="K85" s="38">
        <f t="shared" si="2"/>
        <v>9161.75</v>
      </c>
      <c r="L85" s="39">
        <v>50.0</v>
      </c>
      <c r="M85" s="38">
        <f t="shared" si="13"/>
        <v>91617.5</v>
      </c>
      <c r="N85" s="38">
        <f>J85*0.3</f>
        <v>54970.5</v>
      </c>
      <c r="O85" s="38"/>
      <c r="P85" s="38"/>
      <c r="Q85" s="40">
        <f t="shared" si="34"/>
        <v>36647</v>
      </c>
      <c r="R85" s="39"/>
      <c r="S85" s="49">
        <v>45712.0</v>
      </c>
      <c r="T85" s="39" t="s">
        <v>409</v>
      </c>
      <c r="U85" s="47"/>
      <c r="V85" s="47"/>
      <c r="W85" s="47"/>
      <c r="X85" s="45"/>
      <c r="Y85" s="44"/>
      <c r="Z85" s="44"/>
      <c r="AA85" s="44"/>
      <c r="AB85" s="44"/>
      <c r="AC85" s="44"/>
      <c r="AD85" s="44"/>
      <c r="AE85" s="44"/>
      <c r="AF85" s="44"/>
      <c r="AG85" s="44"/>
      <c r="AH85" s="44"/>
      <c r="AI85" s="44"/>
      <c r="AJ85" s="44"/>
      <c r="AK85" s="44"/>
      <c r="AL85" s="44"/>
    </row>
    <row r="86" hidden="1">
      <c r="A86" s="34" t="b">
        <v>0</v>
      </c>
      <c r="B86" s="46">
        <v>45624.0</v>
      </c>
      <c r="C86" s="39" t="s">
        <v>157</v>
      </c>
      <c r="D86" s="37" t="s">
        <v>410</v>
      </c>
      <c r="E86" s="37" t="s">
        <v>401</v>
      </c>
      <c r="F86" s="37" t="s">
        <v>157</v>
      </c>
      <c r="G86" s="38">
        <v>1.6781049E7</v>
      </c>
      <c r="H86" s="39" t="s">
        <v>185</v>
      </c>
      <c r="I86" s="39">
        <v>4.0</v>
      </c>
      <c r="J86" s="38">
        <f t="shared" si="7"/>
        <v>671241.96</v>
      </c>
      <c r="K86" s="38">
        <f t="shared" si="2"/>
        <v>33562.098</v>
      </c>
      <c r="L86" s="39">
        <v>90.0</v>
      </c>
      <c r="M86" s="38">
        <f t="shared" si="13"/>
        <v>604117.764</v>
      </c>
      <c r="N86" s="38">
        <v>0.0</v>
      </c>
      <c r="O86" s="38"/>
      <c r="P86" s="38"/>
      <c r="Q86" s="40">
        <f t="shared" si="34"/>
        <v>67124.196</v>
      </c>
      <c r="R86" s="49">
        <v>45659.0</v>
      </c>
      <c r="S86" s="49">
        <v>45763.0</v>
      </c>
      <c r="T86" s="39" t="s">
        <v>411</v>
      </c>
      <c r="U86" s="47"/>
      <c r="V86" s="47"/>
      <c r="W86" s="47"/>
      <c r="X86" s="45" t="s">
        <v>2</v>
      </c>
      <c r="Y86" s="44"/>
      <c r="Z86" s="44"/>
      <c r="AA86" s="44"/>
      <c r="AB86" s="44"/>
      <c r="AC86" s="44"/>
      <c r="AD86" s="44"/>
      <c r="AE86" s="44"/>
      <c r="AF86" s="44"/>
      <c r="AG86" s="44"/>
      <c r="AH86" s="44"/>
      <c r="AI86" s="44"/>
      <c r="AJ86" s="44"/>
      <c r="AK86" s="44"/>
      <c r="AL86" s="44"/>
    </row>
    <row r="87" hidden="1">
      <c r="A87" s="34" t="b">
        <v>0</v>
      </c>
      <c r="B87" s="46">
        <v>45626.0</v>
      </c>
      <c r="C87" s="18" t="s">
        <v>150</v>
      </c>
      <c r="D87" s="37" t="s">
        <v>412</v>
      </c>
      <c r="E87" s="37" t="s">
        <v>413</v>
      </c>
      <c r="F87" s="37" t="s">
        <v>375</v>
      </c>
      <c r="G87" s="38">
        <v>648593.16</v>
      </c>
      <c r="H87" s="39" t="s">
        <v>279</v>
      </c>
      <c r="I87" s="39">
        <v>4.0</v>
      </c>
      <c r="J87" s="38">
        <f t="shared" si="7"/>
        <v>25943.7264</v>
      </c>
      <c r="K87" s="38">
        <f t="shared" si="2"/>
        <v>1297.18632</v>
      </c>
      <c r="L87" s="39">
        <v>88.0</v>
      </c>
      <c r="M87" s="38">
        <f t="shared" si="13"/>
        <v>22830.47923</v>
      </c>
      <c r="N87" s="69">
        <f>J87*0.022</f>
        <v>570.7619808</v>
      </c>
      <c r="O87" s="69"/>
      <c r="P87" s="38"/>
      <c r="Q87" s="40">
        <f t="shared" si="34"/>
        <v>2542.485187</v>
      </c>
      <c r="R87" s="39"/>
      <c r="S87" s="49">
        <v>45675.0</v>
      </c>
      <c r="T87" s="39" t="s">
        <v>414</v>
      </c>
      <c r="U87" s="47"/>
      <c r="V87" s="47"/>
      <c r="W87" s="47"/>
      <c r="X87" s="45" t="s">
        <v>375</v>
      </c>
      <c r="Y87" s="44"/>
      <c r="Z87" s="44"/>
      <c r="AA87" s="44"/>
      <c r="AB87" s="44"/>
      <c r="AC87" s="44"/>
      <c r="AD87" s="44"/>
      <c r="AE87" s="44"/>
      <c r="AF87" s="44"/>
      <c r="AG87" s="44"/>
      <c r="AH87" s="44"/>
      <c r="AI87" s="44"/>
      <c r="AJ87" s="44"/>
      <c r="AK87" s="44"/>
      <c r="AL87" s="44"/>
    </row>
    <row r="88" hidden="1">
      <c r="A88" s="34" t="b">
        <v>0</v>
      </c>
      <c r="B88" s="46">
        <v>45628.0</v>
      </c>
      <c r="C88" s="39" t="s">
        <v>150</v>
      </c>
      <c r="D88" s="37" t="s">
        <v>415</v>
      </c>
      <c r="E88" s="37" t="s">
        <v>200</v>
      </c>
      <c r="F88" s="37" t="s">
        <v>416</v>
      </c>
      <c r="G88" s="38">
        <v>919450.0</v>
      </c>
      <c r="H88" s="39" t="s">
        <v>194</v>
      </c>
      <c r="I88" s="39">
        <v>5.0</v>
      </c>
      <c r="J88" s="38">
        <f t="shared" si="7"/>
        <v>45972.5</v>
      </c>
      <c r="K88" s="38">
        <f t="shared" si="2"/>
        <v>2298.625</v>
      </c>
      <c r="L88" s="39">
        <v>80.0</v>
      </c>
      <c r="M88" s="38">
        <f t="shared" si="13"/>
        <v>36778</v>
      </c>
      <c r="N88" s="38">
        <f>J88*0.09</f>
        <v>4137.525</v>
      </c>
      <c r="O88" s="38"/>
      <c r="P88" s="38"/>
      <c r="Q88" s="40">
        <f t="shared" si="34"/>
        <v>5056.975</v>
      </c>
      <c r="R88" s="49">
        <v>45695.0</v>
      </c>
      <c r="S88" s="49">
        <v>45750.0</v>
      </c>
      <c r="T88" s="39" t="s">
        <v>417</v>
      </c>
      <c r="U88" s="47"/>
      <c r="V88" s="47"/>
      <c r="W88" s="47"/>
      <c r="X88" s="45" t="s">
        <v>315</v>
      </c>
      <c r="Y88" s="44"/>
      <c r="Z88" s="44"/>
      <c r="AA88" s="44"/>
      <c r="AB88" s="44"/>
      <c r="AC88" s="44"/>
      <c r="AD88" s="44"/>
      <c r="AE88" s="44"/>
      <c r="AF88" s="44"/>
      <c r="AG88" s="44"/>
      <c r="AH88" s="44"/>
      <c r="AI88" s="44"/>
      <c r="AJ88" s="44"/>
      <c r="AK88" s="44"/>
      <c r="AL88" s="44"/>
    </row>
    <row r="89" hidden="1">
      <c r="A89" s="34" t="b">
        <v>0</v>
      </c>
      <c r="B89" s="46">
        <v>45633.0</v>
      </c>
      <c r="C89" s="18" t="s">
        <v>150</v>
      </c>
      <c r="D89" s="37" t="s">
        <v>418</v>
      </c>
      <c r="E89" s="37" t="s">
        <v>237</v>
      </c>
      <c r="F89" s="37" t="s">
        <v>419</v>
      </c>
      <c r="G89" s="38">
        <v>1400000.0</v>
      </c>
      <c r="H89" s="39" t="s">
        <v>420</v>
      </c>
      <c r="I89" s="39">
        <v>5.0</v>
      </c>
      <c r="J89" s="38">
        <f t="shared" si="7"/>
        <v>70000</v>
      </c>
      <c r="K89" s="38">
        <f t="shared" si="2"/>
        <v>3500</v>
      </c>
      <c r="L89" s="39">
        <v>88.0</v>
      </c>
      <c r="M89" s="38">
        <f t="shared" si="13"/>
        <v>61600</v>
      </c>
      <c r="N89" s="38">
        <f t="shared" ref="N89:N90" si="36">J89*0.01</f>
        <v>700</v>
      </c>
      <c r="O89" s="38">
        <f t="shared" ref="O89:O90" si="37">J89*0.01</f>
        <v>700</v>
      </c>
      <c r="P89" s="38"/>
      <c r="Q89" s="40">
        <f t="shared" si="34"/>
        <v>7700</v>
      </c>
      <c r="R89" s="35">
        <v>45656.0</v>
      </c>
      <c r="S89" s="49">
        <v>45684.0</v>
      </c>
      <c r="T89" s="39" t="s">
        <v>421</v>
      </c>
      <c r="U89" s="39"/>
      <c r="V89" s="47"/>
      <c r="W89" s="47"/>
      <c r="X89" s="45" t="s">
        <v>295</v>
      </c>
      <c r="Y89" s="44"/>
      <c r="Z89" s="44"/>
      <c r="AA89" s="44"/>
      <c r="AB89" s="44"/>
      <c r="AC89" s="44"/>
      <c r="AD89" s="44"/>
      <c r="AE89" s="44"/>
      <c r="AF89" s="44"/>
      <c r="AG89" s="44"/>
      <c r="AH89" s="44"/>
      <c r="AI89" s="44"/>
      <c r="AJ89" s="44"/>
      <c r="AK89" s="44"/>
      <c r="AL89" s="44"/>
    </row>
    <row r="90">
      <c r="A90" s="34" t="b">
        <v>0</v>
      </c>
      <c r="B90" s="46">
        <v>45635.0</v>
      </c>
      <c r="C90" s="39" t="s">
        <v>150</v>
      </c>
      <c r="D90" s="37" t="s">
        <v>422</v>
      </c>
      <c r="E90" s="37" t="s">
        <v>329</v>
      </c>
      <c r="F90" s="37" t="s">
        <v>222</v>
      </c>
      <c r="G90" s="38">
        <v>2766029.0</v>
      </c>
      <c r="H90" s="39" t="s">
        <v>215</v>
      </c>
      <c r="I90" s="39">
        <v>6.0</v>
      </c>
      <c r="J90" s="38">
        <f t="shared" si="7"/>
        <v>165961.74</v>
      </c>
      <c r="K90" s="38">
        <f t="shared" si="2"/>
        <v>8298.087</v>
      </c>
      <c r="L90" s="39">
        <v>88.0</v>
      </c>
      <c r="M90" s="38">
        <f t="shared" si="13"/>
        <v>146046.3312</v>
      </c>
      <c r="N90" s="38">
        <f t="shared" si="36"/>
        <v>1659.6174</v>
      </c>
      <c r="O90" s="38">
        <f t="shared" si="37"/>
        <v>1659.6174</v>
      </c>
      <c r="P90" s="38">
        <f>J90*0.015</f>
        <v>2489.4261</v>
      </c>
      <c r="Q90" s="40">
        <f>J90-M90-N90-P90</f>
        <v>15766.3653</v>
      </c>
      <c r="R90" s="39"/>
      <c r="S90" s="39"/>
      <c r="T90" s="39" t="s">
        <v>423</v>
      </c>
      <c r="U90" s="47"/>
      <c r="V90" s="47"/>
      <c r="W90" s="47"/>
      <c r="X90" s="45" t="s">
        <v>295</v>
      </c>
      <c r="Y90" s="44"/>
      <c r="Z90" s="44"/>
      <c r="AA90" s="44"/>
      <c r="AB90" s="44"/>
      <c r="AC90" s="44"/>
      <c r="AD90" s="44"/>
      <c r="AE90" s="44"/>
      <c r="AF90" s="44"/>
      <c r="AG90" s="44"/>
      <c r="AH90" s="44"/>
      <c r="AI90" s="44"/>
      <c r="AJ90" s="44"/>
      <c r="AK90" s="44"/>
      <c r="AL90" s="44"/>
    </row>
    <row r="91" hidden="1">
      <c r="A91" s="34" t="b">
        <v>0</v>
      </c>
      <c r="B91" s="46">
        <v>45639.0</v>
      </c>
      <c r="C91" s="39" t="s">
        <v>150</v>
      </c>
      <c r="D91" s="37" t="s">
        <v>424</v>
      </c>
      <c r="E91" s="37" t="s">
        <v>200</v>
      </c>
      <c r="F91" s="37" t="s">
        <v>312</v>
      </c>
      <c r="G91" s="38">
        <v>920375.0</v>
      </c>
      <c r="H91" s="39" t="s">
        <v>194</v>
      </c>
      <c r="I91" s="39">
        <v>5.0</v>
      </c>
      <c r="J91" s="38">
        <f t="shared" si="7"/>
        <v>46018.75</v>
      </c>
      <c r="K91" s="38">
        <f t="shared" si="2"/>
        <v>2300.9375</v>
      </c>
      <c r="L91" s="39">
        <v>80.0</v>
      </c>
      <c r="M91" s="38">
        <f t="shared" si="13"/>
        <v>36815</v>
      </c>
      <c r="N91" s="38">
        <f>J91*0.09</f>
        <v>4141.6875</v>
      </c>
      <c r="O91" s="38"/>
      <c r="P91" s="38">
        <f>J91*0.0075</f>
        <v>345.140625</v>
      </c>
      <c r="Q91" s="40">
        <f t="shared" ref="Q91:Q131" si="38">J91-M91-N91</f>
        <v>5062.0625</v>
      </c>
      <c r="R91" s="49">
        <v>45695.0</v>
      </c>
      <c r="S91" s="49">
        <v>45750.0</v>
      </c>
      <c r="T91" s="39" t="s">
        <v>417</v>
      </c>
      <c r="U91" s="47"/>
      <c r="V91" s="47"/>
      <c r="W91" s="47"/>
      <c r="X91" s="45"/>
      <c r="Y91" s="44"/>
      <c r="Z91" s="44"/>
      <c r="AA91" s="44"/>
      <c r="AB91" s="44"/>
      <c r="AC91" s="44"/>
      <c r="AD91" s="44"/>
      <c r="AE91" s="44"/>
      <c r="AF91" s="44"/>
      <c r="AG91" s="44"/>
      <c r="AH91" s="44"/>
      <c r="AI91" s="44"/>
      <c r="AJ91" s="44"/>
      <c r="AK91" s="44"/>
      <c r="AL91" s="44"/>
    </row>
    <row r="92" hidden="1">
      <c r="A92" s="34" t="b">
        <v>0</v>
      </c>
      <c r="B92" s="46">
        <v>45645.0</v>
      </c>
      <c r="C92" s="18" t="s">
        <v>150</v>
      </c>
      <c r="D92" s="37" t="s">
        <v>425</v>
      </c>
      <c r="E92" s="37" t="s">
        <v>426</v>
      </c>
      <c r="F92" s="37" t="s">
        <v>427</v>
      </c>
      <c r="G92" s="38">
        <v>846429.0</v>
      </c>
      <c r="H92" s="39" t="s">
        <v>428</v>
      </c>
      <c r="I92" s="39">
        <v>5.0</v>
      </c>
      <c r="J92" s="38">
        <f t="shared" si="7"/>
        <v>42321.45</v>
      </c>
      <c r="K92" s="38">
        <f t="shared" si="2"/>
        <v>2116.0725</v>
      </c>
      <c r="L92" s="39">
        <v>88.0</v>
      </c>
      <c r="M92" s="38">
        <f t="shared" si="13"/>
        <v>37242.876</v>
      </c>
      <c r="N92" s="38">
        <f t="shared" ref="N92:N97" si="39">J92*0.01</f>
        <v>423.2145</v>
      </c>
      <c r="O92" s="38"/>
      <c r="P92" s="38">
        <f t="shared" ref="P92:P93" si="40">J92*0.0025</f>
        <v>105.803625</v>
      </c>
      <c r="Q92" s="40">
        <f t="shared" si="38"/>
        <v>4655.3595</v>
      </c>
      <c r="R92" s="39"/>
      <c r="S92" s="49">
        <v>45666.0</v>
      </c>
      <c r="T92" s="39" t="s">
        <v>429</v>
      </c>
      <c r="U92" s="80" t="s">
        <v>430</v>
      </c>
      <c r="V92" s="47"/>
      <c r="W92" s="47"/>
      <c r="X92" s="45"/>
      <c r="Y92" s="44"/>
      <c r="Z92" s="44"/>
      <c r="AA92" s="44"/>
      <c r="AB92" s="44"/>
      <c r="AC92" s="44"/>
      <c r="AD92" s="44"/>
      <c r="AE92" s="44"/>
      <c r="AF92" s="44"/>
      <c r="AG92" s="44"/>
      <c r="AH92" s="44"/>
      <c r="AI92" s="44"/>
      <c r="AJ92" s="44"/>
      <c r="AK92" s="44"/>
      <c r="AL92" s="44"/>
    </row>
    <row r="93" hidden="1">
      <c r="A93" s="34" t="b">
        <v>0</v>
      </c>
      <c r="B93" s="46">
        <v>45645.0</v>
      </c>
      <c r="C93" s="18" t="s">
        <v>150</v>
      </c>
      <c r="D93" s="37" t="s">
        <v>431</v>
      </c>
      <c r="E93" s="37" t="s">
        <v>426</v>
      </c>
      <c r="F93" s="37" t="s">
        <v>427</v>
      </c>
      <c r="G93" s="38">
        <v>1411723.0</v>
      </c>
      <c r="H93" s="39" t="s">
        <v>428</v>
      </c>
      <c r="I93" s="39">
        <v>5.0</v>
      </c>
      <c r="J93" s="38">
        <f t="shared" si="7"/>
        <v>70586.15</v>
      </c>
      <c r="K93" s="38">
        <f t="shared" si="2"/>
        <v>3529.3075</v>
      </c>
      <c r="L93" s="39">
        <v>88.0</v>
      </c>
      <c r="M93" s="38">
        <f t="shared" si="13"/>
        <v>62115.812</v>
      </c>
      <c r="N93" s="38">
        <f t="shared" si="39"/>
        <v>705.8615</v>
      </c>
      <c r="O93" s="38"/>
      <c r="P93" s="38">
        <f t="shared" si="40"/>
        <v>176.465375</v>
      </c>
      <c r="Q93" s="40">
        <f t="shared" si="38"/>
        <v>7764.4765</v>
      </c>
      <c r="R93" s="39"/>
      <c r="S93" s="49">
        <v>45666.0</v>
      </c>
      <c r="T93" s="39" t="s">
        <v>429</v>
      </c>
      <c r="U93" s="59" t="s">
        <v>432</v>
      </c>
      <c r="V93" s="81"/>
      <c r="W93" s="81"/>
      <c r="X93" s="82"/>
      <c r="Y93" s="44"/>
      <c r="Z93" s="44"/>
      <c r="AA93" s="44"/>
      <c r="AB93" s="44"/>
      <c r="AC93" s="44"/>
      <c r="AD93" s="44"/>
      <c r="AE93" s="44"/>
      <c r="AF93" s="44"/>
      <c r="AG93" s="44"/>
      <c r="AH93" s="44"/>
      <c r="AI93" s="44"/>
      <c r="AJ93" s="44"/>
      <c r="AK93" s="44"/>
      <c r="AL93" s="44"/>
    </row>
    <row r="94" hidden="1">
      <c r="A94" s="34" t="b">
        <v>0</v>
      </c>
      <c r="B94" s="46">
        <v>45645.0</v>
      </c>
      <c r="C94" s="39" t="s">
        <v>150</v>
      </c>
      <c r="D94" s="37" t="s">
        <v>433</v>
      </c>
      <c r="E94" s="37" t="s">
        <v>434</v>
      </c>
      <c r="F94" s="37" t="s">
        <v>435</v>
      </c>
      <c r="G94" s="38">
        <v>1200000.0</v>
      </c>
      <c r="H94" s="39" t="s">
        <v>223</v>
      </c>
      <c r="I94" s="39">
        <v>6.0</v>
      </c>
      <c r="J94" s="38">
        <f t="shared" si="7"/>
        <v>72000</v>
      </c>
      <c r="K94" s="38">
        <f t="shared" si="2"/>
        <v>3600</v>
      </c>
      <c r="L94" s="39">
        <v>88.0</v>
      </c>
      <c r="M94" s="38">
        <f t="shared" si="13"/>
        <v>63360</v>
      </c>
      <c r="N94" s="38">
        <f t="shared" si="39"/>
        <v>720</v>
      </c>
      <c r="O94" s="38"/>
      <c r="P94" s="38">
        <f t="shared" ref="P94:P95" si="41">J94*0.0075</f>
        <v>540</v>
      </c>
      <c r="Q94" s="40">
        <f t="shared" si="38"/>
        <v>7920</v>
      </c>
      <c r="R94" s="49">
        <v>45706.0</v>
      </c>
      <c r="S94" s="49">
        <v>45727.0</v>
      </c>
      <c r="T94" s="39" t="s">
        <v>436</v>
      </c>
      <c r="U94" s="47"/>
      <c r="V94" s="47"/>
      <c r="W94" s="47"/>
      <c r="X94" s="45"/>
      <c r="Y94" s="44"/>
      <c r="Z94" s="44"/>
      <c r="AA94" s="44"/>
      <c r="AB94" s="44"/>
      <c r="AC94" s="44"/>
      <c r="AD94" s="44"/>
      <c r="AE94" s="44"/>
      <c r="AF94" s="44"/>
      <c r="AG94" s="44"/>
      <c r="AH94" s="44"/>
      <c r="AI94" s="44"/>
      <c r="AJ94" s="44"/>
      <c r="AK94" s="44"/>
      <c r="AL94" s="44"/>
    </row>
    <row r="95" hidden="1">
      <c r="A95" s="34" t="b">
        <v>0</v>
      </c>
      <c r="B95" s="46">
        <v>45646.0</v>
      </c>
      <c r="C95" s="39" t="s">
        <v>150</v>
      </c>
      <c r="D95" s="37" t="s">
        <v>437</v>
      </c>
      <c r="E95" s="37" t="s">
        <v>438</v>
      </c>
      <c r="F95" s="37" t="s">
        <v>439</v>
      </c>
      <c r="G95" s="38">
        <v>1350000.0</v>
      </c>
      <c r="H95" s="39" t="s">
        <v>405</v>
      </c>
      <c r="I95" s="39">
        <v>4.0</v>
      </c>
      <c r="J95" s="38">
        <f t="shared" si="7"/>
        <v>54000</v>
      </c>
      <c r="K95" s="38">
        <f t="shared" si="2"/>
        <v>2700</v>
      </c>
      <c r="L95" s="39">
        <v>80.0</v>
      </c>
      <c r="M95" s="38">
        <f t="shared" si="13"/>
        <v>43200</v>
      </c>
      <c r="N95" s="38">
        <f t="shared" si="39"/>
        <v>540</v>
      </c>
      <c r="O95" s="38"/>
      <c r="P95" s="38">
        <f t="shared" si="41"/>
        <v>405</v>
      </c>
      <c r="Q95" s="40">
        <f t="shared" si="38"/>
        <v>10260</v>
      </c>
      <c r="R95" s="49">
        <v>45749.0</v>
      </c>
      <c r="S95" s="49">
        <v>45750.0</v>
      </c>
      <c r="T95" s="39" t="s">
        <v>440</v>
      </c>
      <c r="U95" s="59" t="s">
        <v>432</v>
      </c>
      <c r="V95" s="47"/>
      <c r="W95" s="47"/>
      <c r="X95" s="45"/>
      <c r="Y95" s="44"/>
      <c r="Z95" s="44"/>
      <c r="AA95" s="44"/>
      <c r="AB95" s="44"/>
      <c r="AC95" s="44"/>
      <c r="AD95" s="44"/>
      <c r="AE95" s="44"/>
      <c r="AF95" s="44"/>
      <c r="AG95" s="44"/>
      <c r="AH95" s="44"/>
      <c r="AI95" s="44"/>
      <c r="AJ95" s="44"/>
      <c r="AK95" s="44"/>
      <c r="AL95" s="44"/>
    </row>
    <row r="96" hidden="1">
      <c r="A96" s="34" t="b">
        <v>0</v>
      </c>
      <c r="B96" s="46">
        <v>45647.0</v>
      </c>
      <c r="C96" s="39" t="s">
        <v>150</v>
      </c>
      <c r="D96" s="37" t="s">
        <v>433</v>
      </c>
      <c r="E96" s="37" t="s">
        <v>434</v>
      </c>
      <c r="F96" s="37" t="s">
        <v>435</v>
      </c>
      <c r="G96" s="38">
        <v>1190000.0</v>
      </c>
      <c r="H96" s="39" t="s">
        <v>223</v>
      </c>
      <c r="I96" s="39">
        <v>6.0</v>
      </c>
      <c r="J96" s="38">
        <f t="shared" si="7"/>
        <v>71400</v>
      </c>
      <c r="K96" s="38">
        <f t="shared" si="2"/>
        <v>3570</v>
      </c>
      <c r="L96" s="39">
        <v>88.0</v>
      </c>
      <c r="M96" s="38">
        <f t="shared" si="13"/>
        <v>62832</v>
      </c>
      <c r="N96" s="38">
        <f t="shared" si="39"/>
        <v>714</v>
      </c>
      <c r="O96" s="38"/>
      <c r="P96" s="38"/>
      <c r="Q96" s="40">
        <f t="shared" si="38"/>
        <v>7854</v>
      </c>
      <c r="R96" s="49">
        <v>45812.0</v>
      </c>
      <c r="S96" s="49">
        <v>45877.0</v>
      </c>
      <c r="T96" s="37" t="s">
        <v>441</v>
      </c>
      <c r="U96" s="47"/>
      <c r="V96" s="47"/>
      <c r="W96" s="47"/>
      <c r="X96" s="45"/>
      <c r="Y96" s="44"/>
      <c r="Z96" s="44"/>
      <c r="AA96" s="44"/>
      <c r="AB96" s="44"/>
      <c r="AC96" s="44"/>
      <c r="AD96" s="44"/>
      <c r="AE96" s="44"/>
      <c r="AF96" s="44"/>
      <c r="AG96" s="44"/>
      <c r="AH96" s="44"/>
      <c r="AI96" s="44"/>
      <c r="AJ96" s="44"/>
      <c r="AK96" s="44"/>
      <c r="AL96" s="44"/>
    </row>
    <row r="97" hidden="1">
      <c r="A97" s="34" t="b">
        <v>0</v>
      </c>
      <c r="B97" s="46">
        <v>45649.0</v>
      </c>
      <c r="C97" s="39" t="s">
        <v>150</v>
      </c>
      <c r="D97" s="37" t="s">
        <v>433</v>
      </c>
      <c r="E97" s="37" t="s">
        <v>434</v>
      </c>
      <c r="F97" s="37" t="s">
        <v>435</v>
      </c>
      <c r="G97" s="38">
        <v>500000.0</v>
      </c>
      <c r="H97" s="39" t="s">
        <v>223</v>
      </c>
      <c r="I97" s="39">
        <v>6.0</v>
      </c>
      <c r="J97" s="38">
        <f t="shared" si="7"/>
        <v>30000</v>
      </c>
      <c r="K97" s="38">
        <f t="shared" si="2"/>
        <v>1500</v>
      </c>
      <c r="L97" s="39">
        <v>88.0</v>
      </c>
      <c r="M97" s="38">
        <f t="shared" si="13"/>
        <v>26400</v>
      </c>
      <c r="N97" s="38">
        <f t="shared" si="39"/>
        <v>300</v>
      </c>
      <c r="O97" s="38"/>
      <c r="P97" s="38">
        <f>J97*0.0075</f>
        <v>225</v>
      </c>
      <c r="Q97" s="40">
        <f t="shared" si="38"/>
        <v>3300</v>
      </c>
      <c r="R97" s="49">
        <v>45698.0</v>
      </c>
      <c r="S97" s="49">
        <v>45727.0</v>
      </c>
      <c r="T97" s="39" t="s">
        <v>442</v>
      </c>
      <c r="U97" s="47"/>
      <c r="V97" s="47"/>
      <c r="W97" s="47"/>
      <c r="X97" s="45"/>
      <c r="Y97" s="44"/>
      <c r="Z97" s="44"/>
      <c r="AA97" s="44"/>
      <c r="AB97" s="44"/>
      <c r="AC97" s="44"/>
      <c r="AD97" s="44"/>
      <c r="AE97" s="44"/>
      <c r="AF97" s="44"/>
      <c r="AG97" s="44"/>
      <c r="AH97" s="44"/>
      <c r="AI97" s="44"/>
      <c r="AJ97" s="44"/>
      <c r="AK97" s="44"/>
      <c r="AL97" s="44"/>
    </row>
    <row r="98" hidden="1">
      <c r="A98" s="34" t="b">
        <v>0</v>
      </c>
      <c r="B98" s="83">
        <v>45652.0</v>
      </c>
      <c r="C98" s="84" t="s">
        <v>219</v>
      </c>
      <c r="D98" s="85" t="s">
        <v>443</v>
      </c>
      <c r="E98" s="85" t="s">
        <v>221</v>
      </c>
      <c r="F98" s="85" t="s">
        <v>222</v>
      </c>
      <c r="G98" s="86">
        <v>1454494.0</v>
      </c>
      <c r="H98" s="84" t="s">
        <v>405</v>
      </c>
      <c r="I98" s="84">
        <v>4.0</v>
      </c>
      <c r="J98" s="86">
        <f t="shared" si="7"/>
        <v>58179.76</v>
      </c>
      <c r="K98" s="86">
        <f t="shared" si="2"/>
        <v>2908.988</v>
      </c>
      <c r="L98" s="84">
        <v>83.0</v>
      </c>
      <c r="M98" s="86">
        <f t="shared" si="13"/>
        <v>48289.2008</v>
      </c>
      <c r="N98" s="86">
        <f>J98*0.05</f>
        <v>2908.988</v>
      </c>
      <c r="O98" s="86"/>
      <c r="P98" s="86"/>
      <c r="Q98" s="87">
        <f t="shared" si="38"/>
        <v>6981.5712</v>
      </c>
      <c r="R98" s="88">
        <v>45664.0</v>
      </c>
      <c r="S98" s="88">
        <v>45741.0</v>
      </c>
      <c r="T98" s="84" t="s">
        <v>444</v>
      </c>
      <c r="U98" s="84" t="s">
        <v>445</v>
      </c>
      <c r="V98" s="89"/>
      <c r="W98" s="89"/>
      <c r="X98" s="90"/>
      <c r="Y98" s="91"/>
      <c r="Z98" s="91"/>
      <c r="AA98" s="91"/>
      <c r="AB98" s="91"/>
      <c r="AC98" s="91"/>
      <c r="AD98" s="91"/>
      <c r="AE98" s="91"/>
      <c r="AF98" s="91"/>
      <c r="AG98" s="91"/>
      <c r="AH98" s="91"/>
      <c r="AI98" s="91"/>
      <c r="AJ98" s="91"/>
      <c r="AK98" s="91"/>
      <c r="AL98" s="91"/>
    </row>
    <row r="99" hidden="1">
      <c r="A99" s="34" t="b">
        <v>0</v>
      </c>
      <c r="B99" s="46">
        <v>45659.0</v>
      </c>
      <c r="C99" s="18" t="s">
        <v>150</v>
      </c>
      <c r="D99" s="37" t="s">
        <v>446</v>
      </c>
      <c r="E99" s="37" t="s">
        <v>355</v>
      </c>
      <c r="F99" s="37" t="s">
        <v>333</v>
      </c>
      <c r="G99" s="38">
        <v>1414592.0</v>
      </c>
      <c r="H99" s="39" t="s">
        <v>234</v>
      </c>
      <c r="I99" s="39">
        <v>5.0</v>
      </c>
      <c r="J99" s="38">
        <f t="shared" si="7"/>
        <v>70729.6</v>
      </c>
      <c r="K99" s="38">
        <f t="shared" si="2"/>
        <v>3536.48</v>
      </c>
      <c r="L99" s="39">
        <v>88.0</v>
      </c>
      <c r="M99" s="38">
        <f t="shared" si="13"/>
        <v>62242.048</v>
      </c>
      <c r="N99" s="38">
        <f t="shared" ref="N99:N100" si="42">J99*0.01</f>
        <v>707.296</v>
      </c>
      <c r="O99" s="38"/>
      <c r="P99" s="38">
        <f>J99*0.0075</f>
        <v>530.472</v>
      </c>
      <c r="Q99" s="40">
        <f t="shared" si="38"/>
        <v>7780.256</v>
      </c>
      <c r="R99" s="39"/>
      <c r="S99" s="49">
        <v>45714.0</v>
      </c>
      <c r="T99" s="39" t="s">
        <v>447</v>
      </c>
      <c r="U99" s="39" t="s">
        <v>448</v>
      </c>
      <c r="V99" s="47"/>
      <c r="W99" s="47"/>
      <c r="X99" s="45"/>
      <c r="Y99" s="44"/>
      <c r="Z99" s="44"/>
      <c r="AA99" s="44"/>
      <c r="AB99" s="44"/>
      <c r="AC99" s="44"/>
      <c r="AD99" s="44"/>
      <c r="AE99" s="44"/>
      <c r="AF99" s="44"/>
      <c r="AG99" s="44"/>
      <c r="AH99" s="44"/>
      <c r="AI99" s="44"/>
      <c r="AJ99" s="44"/>
      <c r="AK99" s="44"/>
      <c r="AL99" s="44"/>
    </row>
    <row r="100" hidden="1">
      <c r="A100" s="34" t="b">
        <v>0</v>
      </c>
      <c r="B100" s="46">
        <v>45670.0</v>
      </c>
      <c r="C100" s="39" t="s">
        <v>150</v>
      </c>
      <c r="D100" s="37" t="s">
        <v>449</v>
      </c>
      <c r="E100" s="37" t="s">
        <v>426</v>
      </c>
      <c r="F100" s="37" t="s">
        <v>427</v>
      </c>
      <c r="G100" s="38">
        <v>3908888.0</v>
      </c>
      <c r="H100" s="39" t="s">
        <v>273</v>
      </c>
      <c r="I100" s="39">
        <v>4.0</v>
      </c>
      <c r="J100" s="38">
        <f t="shared" si="7"/>
        <v>156355.52</v>
      </c>
      <c r="K100" s="38">
        <f t="shared" si="2"/>
        <v>7817.776</v>
      </c>
      <c r="L100" s="39">
        <v>88.0</v>
      </c>
      <c r="M100" s="38">
        <f t="shared" si="13"/>
        <v>137592.8576</v>
      </c>
      <c r="N100" s="38">
        <f t="shared" si="42"/>
        <v>1563.5552</v>
      </c>
      <c r="O100" s="38"/>
      <c r="P100" s="38">
        <f>J100*0.0025</f>
        <v>390.8888</v>
      </c>
      <c r="Q100" s="40">
        <f t="shared" si="38"/>
        <v>17199.1072</v>
      </c>
      <c r="R100" s="39"/>
      <c r="S100" s="49">
        <v>45722.0</v>
      </c>
      <c r="T100" s="39" t="s">
        <v>450</v>
      </c>
      <c r="U100" s="47"/>
      <c r="V100" s="47"/>
      <c r="W100" s="47"/>
      <c r="X100" s="45"/>
      <c r="Y100" s="44"/>
      <c r="Z100" s="44"/>
      <c r="AA100" s="44"/>
      <c r="AB100" s="44"/>
      <c r="AC100" s="44"/>
      <c r="AD100" s="44"/>
      <c r="AE100" s="44"/>
      <c r="AF100" s="44"/>
      <c r="AG100" s="44"/>
      <c r="AH100" s="44"/>
      <c r="AI100" s="44"/>
      <c r="AJ100" s="44"/>
      <c r="AK100" s="44"/>
      <c r="AL100" s="44"/>
    </row>
    <row r="101" hidden="1">
      <c r="A101" s="34" t="b">
        <v>0</v>
      </c>
      <c r="B101" s="46">
        <v>45670.0</v>
      </c>
      <c r="C101" s="39" t="s">
        <v>150</v>
      </c>
      <c r="D101" s="37" t="s">
        <v>451</v>
      </c>
      <c r="E101" s="37" t="s">
        <v>200</v>
      </c>
      <c r="F101" s="37" t="s">
        <v>416</v>
      </c>
      <c r="G101" s="38">
        <v>1146075.0</v>
      </c>
      <c r="H101" s="39" t="s">
        <v>194</v>
      </c>
      <c r="I101" s="39">
        <v>4.0</v>
      </c>
      <c r="J101" s="38">
        <f t="shared" si="7"/>
        <v>45843</v>
      </c>
      <c r="K101" s="38">
        <f t="shared" si="2"/>
        <v>2292.15</v>
      </c>
      <c r="L101" s="39">
        <v>80.0</v>
      </c>
      <c r="M101" s="38">
        <f t="shared" si="13"/>
        <v>36674.4</v>
      </c>
      <c r="N101" s="38">
        <f>J101*0.09</f>
        <v>4125.87</v>
      </c>
      <c r="O101" s="38"/>
      <c r="P101" s="38">
        <f t="shared" ref="P101:P102" si="43">J101*0.0075</f>
        <v>343.8225</v>
      </c>
      <c r="Q101" s="40">
        <f t="shared" si="38"/>
        <v>5042.73</v>
      </c>
      <c r="R101" s="49">
        <v>45695.0</v>
      </c>
      <c r="S101" s="49">
        <v>45750.0</v>
      </c>
      <c r="T101" s="39" t="s">
        <v>417</v>
      </c>
      <c r="U101" s="47"/>
      <c r="V101" s="47"/>
      <c r="W101" s="47"/>
      <c r="X101" s="45"/>
      <c r="Y101" s="44"/>
      <c r="Z101" s="44"/>
      <c r="AA101" s="44"/>
      <c r="AB101" s="44"/>
      <c r="AC101" s="44"/>
      <c r="AD101" s="44"/>
      <c r="AE101" s="44"/>
      <c r="AF101" s="44"/>
      <c r="AG101" s="44"/>
      <c r="AH101" s="44"/>
      <c r="AI101" s="44"/>
      <c r="AJ101" s="44"/>
      <c r="AK101" s="44"/>
      <c r="AL101" s="44"/>
    </row>
    <row r="102" hidden="1">
      <c r="A102" s="34" t="b">
        <v>0</v>
      </c>
      <c r="B102" s="46">
        <v>45670.0</v>
      </c>
      <c r="C102" s="39" t="s">
        <v>150</v>
      </c>
      <c r="D102" s="37" t="s">
        <v>452</v>
      </c>
      <c r="E102" s="37" t="s">
        <v>342</v>
      </c>
      <c r="F102" s="37" t="s">
        <v>343</v>
      </c>
      <c r="G102" s="38">
        <v>1.368853E7</v>
      </c>
      <c r="H102" s="39" t="s">
        <v>185</v>
      </c>
      <c r="I102" s="39">
        <v>4.0</v>
      </c>
      <c r="J102" s="38">
        <f t="shared" si="7"/>
        <v>547541.2</v>
      </c>
      <c r="K102" s="38">
        <f t="shared" si="2"/>
        <v>27377.06</v>
      </c>
      <c r="L102" s="39">
        <v>90.0</v>
      </c>
      <c r="M102" s="38">
        <f t="shared" si="13"/>
        <v>492787.08</v>
      </c>
      <c r="N102" s="38">
        <f>J102*0.01</f>
        <v>5475.412</v>
      </c>
      <c r="O102" s="38">
        <f>J102*0.01</f>
        <v>5475.412</v>
      </c>
      <c r="P102" s="38">
        <f t="shared" si="43"/>
        <v>4106.559</v>
      </c>
      <c r="Q102" s="40">
        <f t="shared" si="38"/>
        <v>49278.708</v>
      </c>
      <c r="R102" s="49">
        <v>45705.0</v>
      </c>
      <c r="S102" s="49">
        <v>45734.0</v>
      </c>
      <c r="T102" s="39" t="s">
        <v>453</v>
      </c>
      <c r="U102" s="47"/>
      <c r="V102" s="47"/>
      <c r="W102" s="47"/>
      <c r="X102" s="45"/>
      <c r="Y102" s="44"/>
      <c r="Z102" s="44"/>
      <c r="AA102" s="44"/>
      <c r="AB102" s="44"/>
      <c r="AC102" s="44"/>
      <c r="AD102" s="44"/>
      <c r="AE102" s="44"/>
      <c r="AF102" s="44"/>
      <c r="AG102" s="44"/>
      <c r="AH102" s="44"/>
      <c r="AI102" s="44"/>
      <c r="AJ102" s="44"/>
      <c r="AK102" s="44"/>
      <c r="AL102" s="44"/>
    </row>
    <row r="103" hidden="1">
      <c r="A103" s="34" t="b">
        <v>0</v>
      </c>
      <c r="B103" s="46">
        <v>45673.0</v>
      </c>
      <c r="C103" s="39" t="s">
        <v>157</v>
      </c>
      <c r="D103" s="37" t="s">
        <v>454</v>
      </c>
      <c r="E103" s="37" t="s">
        <v>455</v>
      </c>
      <c r="F103" s="37" t="s">
        <v>456</v>
      </c>
      <c r="G103" s="38">
        <v>4516866.0</v>
      </c>
      <c r="H103" s="39" t="s">
        <v>185</v>
      </c>
      <c r="I103" s="39">
        <v>5.0</v>
      </c>
      <c r="J103" s="38">
        <f t="shared" si="7"/>
        <v>225843.3</v>
      </c>
      <c r="K103" s="38">
        <f t="shared" si="2"/>
        <v>11292.165</v>
      </c>
      <c r="L103" s="39">
        <v>50.0</v>
      </c>
      <c r="M103" s="38">
        <f t="shared" si="13"/>
        <v>112921.65</v>
      </c>
      <c r="N103" s="38">
        <f>J103*0.31</f>
        <v>70011.423</v>
      </c>
      <c r="O103" s="38"/>
      <c r="P103" s="38"/>
      <c r="Q103" s="40">
        <f t="shared" si="38"/>
        <v>42910.227</v>
      </c>
      <c r="R103" s="39"/>
      <c r="S103" s="49">
        <v>45712.0</v>
      </c>
      <c r="T103" s="39" t="s">
        <v>457</v>
      </c>
      <c r="U103" s="39" t="s">
        <v>335</v>
      </c>
      <c r="V103" s="47"/>
      <c r="W103" s="47"/>
      <c r="X103" s="45"/>
      <c r="Y103" s="44"/>
      <c r="Z103" s="44"/>
      <c r="AA103" s="44"/>
      <c r="AB103" s="44"/>
      <c r="AC103" s="44"/>
      <c r="AD103" s="44"/>
      <c r="AE103" s="44"/>
      <c r="AF103" s="44"/>
      <c r="AG103" s="44"/>
      <c r="AH103" s="44"/>
      <c r="AI103" s="44"/>
      <c r="AJ103" s="44"/>
      <c r="AK103" s="44"/>
      <c r="AL103" s="44"/>
    </row>
    <row r="104" hidden="1">
      <c r="A104" s="34" t="b">
        <v>0</v>
      </c>
      <c r="B104" s="46">
        <v>45674.0</v>
      </c>
      <c r="C104" s="39" t="s">
        <v>157</v>
      </c>
      <c r="D104" s="37" t="s">
        <v>458</v>
      </c>
      <c r="E104" s="37" t="s">
        <v>404</v>
      </c>
      <c r="F104" s="37" t="s">
        <v>157</v>
      </c>
      <c r="G104" s="38">
        <v>4094976.0</v>
      </c>
      <c r="H104" s="39" t="s">
        <v>185</v>
      </c>
      <c r="I104" s="39">
        <v>5.0</v>
      </c>
      <c r="J104" s="38">
        <f t="shared" si="7"/>
        <v>204748.8</v>
      </c>
      <c r="K104" s="38">
        <f t="shared" si="2"/>
        <v>10237.44</v>
      </c>
      <c r="L104" s="39">
        <v>80.0</v>
      </c>
      <c r="M104" s="38">
        <f t="shared" si="13"/>
        <v>163799.04</v>
      </c>
      <c r="N104" s="38"/>
      <c r="O104" s="38"/>
      <c r="P104" s="38"/>
      <c r="Q104" s="40">
        <f t="shared" si="38"/>
        <v>40949.76</v>
      </c>
      <c r="R104" s="49">
        <v>45733.0</v>
      </c>
      <c r="S104" s="49">
        <v>45741.0</v>
      </c>
      <c r="T104" s="39" t="s">
        <v>459</v>
      </c>
      <c r="U104" s="47"/>
      <c r="V104" s="47"/>
      <c r="W104" s="47"/>
      <c r="X104" s="45"/>
      <c r="Y104" s="44"/>
      <c r="Z104" s="44"/>
      <c r="AA104" s="44"/>
      <c r="AB104" s="44"/>
      <c r="AC104" s="44"/>
      <c r="AD104" s="44"/>
      <c r="AE104" s="44"/>
      <c r="AF104" s="44"/>
      <c r="AG104" s="44"/>
      <c r="AH104" s="44"/>
      <c r="AI104" s="44"/>
      <c r="AJ104" s="44"/>
      <c r="AK104" s="44"/>
      <c r="AL104" s="44"/>
    </row>
    <row r="105" hidden="1">
      <c r="A105" s="34" t="b">
        <v>0</v>
      </c>
      <c r="B105" s="46">
        <v>45674.0</v>
      </c>
      <c r="C105" s="39" t="s">
        <v>150</v>
      </c>
      <c r="D105" s="37" t="s">
        <v>460</v>
      </c>
      <c r="E105" s="37" t="s">
        <v>461</v>
      </c>
      <c r="F105" s="37" t="s">
        <v>462</v>
      </c>
      <c r="G105" s="38">
        <v>1626490.0</v>
      </c>
      <c r="H105" s="39" t="s">
        <v>463</v>
      </c>
      <c r="I105" s="39">
        <v>5.0</v>
      </c>
      <c r="J105" s="38">
        <f t="shared" si="7"/>
        <v>81324.5</v>
      </c>
      <c r="K105" s="38">
        <f t="shared" si="2"/>
        <v>4066.225</v>
      </c>
      <c r="L105" s="39">
        <v>88.0</v>
      </c>
      <c r="M105" s="38">
        <f t="shared" si="13"/>
        <v>71565.56</v>
      </c>
      <c r="N105" s="38">
        <f t="shared" ref="N105:N106" si="44">J105*0.01</f>
        <v>813.245</v>
      </c>
      <c r="O105" s="38"/>
      <c r="P105" s="38">
        <f t="shared" ref="P105:P107" si="45">J105*0.0075</f>
        <v>609.93375</v>
      </c>
      <c r="Q105" s="40">
        <f t="shared" si="38"/>
        <v>8945.695</v>
      </c>
      <c r="R105" s="49">
        <v>45713.0</v>
      </c>
      <c r="S105" s="49">
        <v>45768.0</v>
      </c>
      <c r="T105" s="39" t="s">
        <v>464</v>
      </c>
      <c r="U105" s="47"/>
      <c r="V105" s="47"/>
      <c r="W105" s="47"/>
      <c r="X105" s="45"/>
      <c r="Y105" s="44"/>
      <c r="Z105" s="44"/>
      <c r="AA105" s="44"/>
      <c r="AB105" s="44"/>
      <c r="AC105" s="44"/>
      <c r="AD105" s="44"/>
      <c r="AE105" s="44"/>
      <c r="AF105" s="44"/>
      <c r="AG105" s="44"/>
      <c r="AH105" s="44"/>
      <c r="AI105" s="44"/>
      <c r="AJ105" s="44"/>
      <c r="AK105" s="44"/>
      <c r="AL105" s="44"/>
    </row>
    <row r="106" hidden="1">
      <c r="A106" s="34" t="b">
        <v>0</v>
      </c>
      <c r="B106" s="46">
        <v>45674.0</v>
      </c>
      <c r="C106" s="18" t="s">
        <v>150</v>
      </c>
      <c r="D106" s="37" t="s">
        <v>465</v>
      </c>
      <c r="E106" s="37" t="s">
        <v>466</v>
      </c>
      <c r="F106" s="37" t="s">
        <v>467</v>
      </c>
      <c r="G106" s="38">
        <v>1133000.0</v>
      </c>
      <c r="H106" s="39" t="s">
        <v>293</v>
      </c>
      <c r="I106" s="39">
        <v>7.0</v>
      </c>
      <c r="J106" s="38">
        <f t="shared" si="7"/>
        <v>79310</v>
      </c>
      <c r="K106" s="38">
        <f t="shared" si="2"/>
        <v>3965.5</v>
      </c>
      <c r="L106" s="39">
        <v>88.0</v>
      </c>
      <c r="M106" s="38">
        <f t="shared" si="13"/>
        <v>69792.8</v>
      </c>
      <c r="N106" s="38">
        <f t="shared" si="44"/>
        <v>793.1</v>
      </c>
      <c r="O106" s="38"/>
      <c r="P106" s="38">
        <f t="shared" si="45"/>
        <v>594.825</v>
      </c>
      <c r="Q106" s="40">
        <f t="shared" si="38"/>
        <v>8724.1</v>
      </c>
      <c r="R106" s="39"/>
      <c r="S106" s="49">
        <v>45707.0</v>
      </c>
      <c r="T106" s="39" t="s">
        <v>468</v>
      </c>
      <c r="U106" s="47"/>
      <c r="V106" s="47"/>
      <c r="W106" s="47"/>
      <c r="X106" s="45"/>
      <c r="Y106" s="44"/>
      <c r="Z106" s="44"/>
      <c r="AA106" s="44"/>
      <c r="AB106" s="44"/>
      <c r="AC106" s="44"/>
      <c r="AD106" s="44"/>
      <c r="AE106" s="44"/>
      <c r="AF106" s="44"/>
      <c r="AG106" s="44"/>
      <c r="AH106" s="44"/>
      <c r="AI106" s="44"/>
      <c r="AJ106" s="44"/>
      <c r="AK106" s="44"/>
      <c r="AL106" s="44"/>
    </row>
    <row r="107" hidden="1">
      <c r="A107" s="34" t="b">
        <v>0</v>
      </c>
      <c r="B107" s="46">
        <v>45677.0</v>
      </c>
      <c r="C107" s="39" t="s">
        <v>150</v>
      </c>
      <c r="D107" s="37" t="s">
        <v>469</v>
      </c>
      <c r="E107" s="37" t="s">
        <v>470</v>
      </c>
      <c r="F107" s="37" t="s">
        <v>375</v>
      </c>
      <c r="G107" s="38">
        <v>1271711.11</v>
      </c>
      <c r="H107" s="39" t="s">
        <v>279</v>
      </c>
      <c r="I107" s="39">
        <v>6.0</v>
      </c>
      <c r="J107" s="38">
        <f t="shared" si="7"/>
        <v>76302.6666</v>
      </c>
      <c r="K107" s="38">
        <f t="shared" si="2"/>
        <v>3815.13333</v>
      </c>
      <c r="L107" s="39">
        <v>88.0</v>
      </c>
      <c r="M107" s="38">
        <f t="shared" si="13"/>
        <v>67146.34661</v>
      </c>
      <c r="N107" s="38">
        <f>J107*0.012</f>
        <v>915.6319992</v>
      </c>
      <c r="O107" s="38"/>
      <c r="P107" s="38">
        <f t="shared" si="45"/>
        <v>572.2699995</v>
      </c>
      <c r="Q107" s="40">
        <f t="shared" si="38"/>
        <v>8240.687993</v>
      </c>
      <c r="R107" s="49">
        <v>45783.0</v>
      </c>
      <c r="S107" s="49">
        <v>45869.0</v>
      </c>
      <c r="T107" s="39" t="s">
        <v>471</v>
      </c>
      <c r="U107" s="39" t="s">
        <v>472</v>
      </c>
      <c r="V107" s="47"/>
      <c r="W107" s="47"/>
      <c r="X107" s="45"/>
      <c r="Y107" s="44"/>
      <c r="Z107" s="44"/>
      <c r="AA107" s="44"/>
      <c r="AB107" s="44"/>
      <c r="AC107" s="44"/>
      <c r="AD107" s="44"/>
      <c r="AE107" s="44"/>
      <c r="AF107" s="44"/>
      <c r="AG107" s="44"/>
      <c r="AH107" s="44"/>
      <c r="AI107" s="44"/>
      <c r="AJ107" s="44"/>
      <c r="AK107" s="44"/>
      <c r="AL107" s="44"/>
    </row>
    <row r="108" hidden="1">
      <c r="A108" s="34" t="b">
        <v>0</v>
      </c>
      <c r="B108" s="46">
        <v>45677.0</v>
      </c>
      <c r="C108" s="39" t="s">
        <v>219</v>
      </c>
      <c r="D108" s="37" t="s">
        <v>473</v>
      </c>
      <c r="E108" s="37" t="s">
        <v>221</v>
      </c>
      <c r="F108" s="37" t="s">
        <v>222</v>
      </c>
      <c r="G108" s="38">
        <v>500000.0</v>
      </c>
      <c r="H108" s="39" t="s">
        <v>223</v>
      </c>
      <c r="I108" s="39">
        <v>5.0</v>
      </c>
      <c r="J108" s="38">
        <f t="shared" si="7"/>
        <v>25000</v>
      </c>
      <c r="K108" s="38">
        <f t="shared" si="2"/>
        <v>1250</v>
      </c>
      <c r="L108" s="39">
        <v>83.0</v>
      </c>
      <c r="M108" s="38">
        <f t="shared" si="13"/>
        <v>20750</v>
      </c>
      <c r="N108" s="38">
        <f>J108*0.05</f>
        <v>1250</v>
      </c>
      <c r="O108" s="38"/>
      <c r="P108" s="38"/>
      <c r="Q108" s="40">
        <f t="shared" si="38"/>
        <v>3000</v>
      </c>
      <c r="R108" s="49">
        <v>45777.0</v>
      </c>
      <c r="S108" s="49">
        <v>45787.0</v>
      </c>
      <c r="T108" s="47"/>
      <c r="U108" s="47"/>
      <c r="V108" s="47"/>
      <c r="W108" s="47"/>
      <c r="X108" s="45"/>
      <c r="Y108" s="53"/>
      <c r="Z108" s="53"/>
      <c r="AA108" s="53"/>
      <c r="AB108" s="53"/>
      <c r="AC108" s="53"/>
      <c r="AD108" s="53"/>
      <c r="AE108" s="53"/>
      <c r="AF108" s="53"/>
      <c r="AG108" s="53"/>
      <c r="AH108" s="53"/>
      <c r="AI108" s="53"/>
      <c r="AJ108" s="53"/>
      <c r="AK108" s="53"/>
      <c r="AL108" s="53"/>
    </row>
    <row r="109" hidden="1">
      <c r="A109" s="34" t="b">
        <v>0</v>
      </c>
      <c r="B109" s="46">
        <v>45677.0</v>
      </c>
      <c r="C109" s="39" t="s">
        <v>150</v>
      </c>
      <c r="D109" s="37" t="s">
        <v>474</v>
      </c>
      <c r="E109" s="37" t="s">
        <v>475</v>
      </c>
      <c r="F109" s="37"/>
      <c r="G109" s="38">
        <v>663625.0</v>
      </c>
      <c r="H109" s="39" t="s">
        <v>476</v>
      </c>
      <c r="I109" s="39">
        <v>5.0</v>
      </c>
      <c r="J109" s="38">
        <f t="shared" si="7"/>
        <v>33181.25</v>
      </c>
      <c r="K109" s="38">
        <f t="shared" si="2"/>
        <v>1659.0625</v>
      </c>
      <c r="L109" s="39">
        <v>50.0</v>
      </c>
      <c r="M109" s="38">
        <f t="shared" si="13"/>
        <v>16590.625</v>
      </c>
      <c r="N109" s="38"/>
      <c r="O109" s="38"/>
      <c r="P109" s="38"/>
      <c r="Q109" s="40">
        <f t="shared" si="38"/>
        <v>16590.625</v>
      </c>
      <c r="R109" s="49">
        <v>45790.0</v>
      </c>
      <c r="S109" s="49">
        <v>45800.0</v>
      </c>
      <c r="T109" s="47"/>
      <c r="U109" s="47"/>
      <c r="V109" s="47"/>
      <c r="W109" s="47"/>
      <c r="X109" s="45"/>
      <c r="Y109" s="44"/>
      <c r="Z109" s="44"/>
      <c r="AA109" s="44"/>
      <c r="AB109" s="44"/>
      <c r="AC109" s="44"/>
      <c r="AD109" s="44"/>
      <c r="AE109" s="44"/>
      <c r="AF109" s="44"/>
      <c r="AG109" s="44"/>
      <c r="AH109" s="44"/>
      <c r="AI109" s="44"/>
      <c r="AJ109" s="44"/>
      <c r="AK109" s="44"/>
      <c r="AL109" s="44"/>
    </row>
    <row r="110" hidden="1">
      <c r="A110" s="34" t="b">
        <v>0</v>
      </c>
      <c r="B110" s="46">
        <v>45679.0</v>
      </c>
      <c r="C110" s="39" t="s">
        <v>150</v>
      </c>
      <c r="D110" s="37" t="s">
        <v>477</v>
      </c>
      <c r="E110" s="37" t="s">
        <v>478</v>
      </c>
      <c r="F110" s="37" t="s">
        <v>104</v>
      </c>
      <c r="G110" s="38">
        <v>893000.0</v>
      </c>
      <c r="H110" s="39" t="s">
        <v>284</v>
      </c>
      <c r="I110" s="39">
        <v>5.0</v>
      </c>
      <c r="J110" s="38">
        <f t="shared" si="7"/>
        <v>44650</v>
      </c>
      <c r="K110" s="38">
        <f t="shared" si="2"/>
        <v>2232.5</v>
      </c>
      <c r="L110" s="39">
        <v>50.0</v>
      </c>
      <c r="M110" s="38">
        <f t="shared" si="13"/>
        <v>22325</v>
      </c>
      <c r="N110" s="38">
        <f>J110*0.33</f>
        <v>14734.5</v>
      </c>
      <c r="O110" s="38">
        <f>J110*0.005</f>
        <v>223.25</v>
      </c>
      <c r="P110" s="38">
        <f>J110*0.0075</f>
        <v>334.875</v>
      </c>
      <c r="Q110" s="40">
        <f t="shared" si="38"/>
        <v>7590.5</v>
      </c>
      <c r="R110" s="39"/>
      <c r="S110" s="49">
        <v>45728.0</v>
      </c>
      <c r="T110" s="39" t="s">
        <v>479</v>
      </c>
      <c r="U110" s="47"/>
      <c r="V110" s="47"/>
      <c r="W110" s="47"/>
      <c r="X110" s="45"/>
      <c r="Y110" s="44"/>
      <c r="Z110" s="44"/>
      <c r="AA110" s="44"/>
      <c r="AB110" s="44"/>
      <c r="AC110" s="44"/>
      <c r="AD110" s="44"/>
      <c r="AE110" s="44"/>
      <c r="AF110" s="44"/>
      <c r="AG110" s="44"/>
      <c r="AH110" s="44"/>
      <c r="AI110" s="44"/>
      <c r="AJ110" s="44"/>
      <c r="AK110" s="44"/>
      <c r="AL110" s="44"/>
    </row>
    <row r="111" hidden="1">
      <c r="A111" s="34" t="b">
        <v>0</v>
      </c>
      <c r="B111" s="46">
        <v>45679.0</v>
      </c>
      <c r="C111" s="39" t="s">
        <v>150</v>
      </c>
      <c r="D111" s="37" t="s">
        <v>480</v>
      </c>
      <c r="E111" s="37" t="s">
        <v>426</v>
      </c>
      <c r="F111" s="37" t="s">
        <v>481</v>
      </c>
      <c r="G111" s="38">
        <v>675900.0</v>
      </c>
      <c r="H111" s="39" t="s">
        <v>482</v>
      </c>
      <c r="I111" s="39">
        <v>5.0</v>
      </c>
      <c r="J111" s="38">
        <f t="shared" si="7"/>
        <v>33795</v>
      </c>
      <c r="K111" s="38">
        <f t="shared" si="2"/>
        <v>1689.75</v>
      </c>
      <c r="L111" s="39">
        <v>88.0</v>
      </c>
      <c r="M111" s="38">
        <f t="shared" si="13"/>
        <v>29739.6</v>
      </c>
      <c r="N111" s="38">
        <f t="shared" ref="N111:N113" si="46">J111*0.01</f>
        <v>337.95</v>
      </c>
      <c r="O111" s="38"/>
      <c r="P111" s="38">
        <f t="shared" ref="P111:P112" si="47">J111*0.0025</f>
        <v>84.4875</v>
      </c>
      <c r="Q111" s="40">
        <f t="shared" si="38"/>
        <v>3717.45</v>
      </c>
      <c r="R111" s="49">
        <v>45702.0</v>
      </c>
      <c r="S111" s="49">
        <v>45777.0</v>
      </c>
      <c r="T111" s="39" t="s">
        <v>483</v>
      </c>
      <c r="U111" s="47"/>
      <c r="V111" s="47"/>
      <c r="W111" s="47"/>
      <c r="X111" s="45"/>
      <c r="Y111" s="44"/>
      <c r="Z111" s="44"/>
      <c r="AA111" s="44"/>
      <c r="AB111" s="44"/>
      <c r="AC111" s="44"/>
      <c r="AD111" s="44"/>
      <c r="AE111" s="44"/>
      <c r="AF111" s="44"/>
      <c r="AG111" s="44"/>
      <c r="AH111" s="44"/>
      <c r="AI111" s="44"/>
      <c r="AJ111" s="44"/>
      <c r="AK111" s="44"/>
      <c r="AL111" s="44"/>
    </row>
    <row r="112" hidden="1">
      <c r="A112" s="34" t="b">
        <v>0</v>
      </c>
      <c r="B112" s="46">
        <v>45679.0</v>
      </c>
      <c r="C112" s="39" t="s">
        <v>150</v>
      </c>
      <c r="D112" s="37" t="s">
        <v>484</v>
      </c>
      <c r="E112" s="37" t="s">
        <v>426</v>
      </c>
      <c r="F112" s="37" t="s">
        <v>481</v>
      </c>
      <c r="G112" s="38">
        <v>675900.0</v>
      </c>
      <c r="H112" s="39" t="s">
        <v>482</v>
      </c>
      <c r="I112" s="39">
        <v>5.0</v>
      </c>
      <c r="J112" s="38">
        <f t="shared" si="7"/>
        <v>33795</v>
      </c>
      <c r="K112" s="38">
        <f t="shared" si="2"/>
        <v>1689.75</v>
      </c>
      <c r="L112" s="39">
        <v>88.0</v>
      </c>
      <c r="M112" s="38">
        <f t="shared" si="13"/>
        <v>29739.6</v>
      </c>
      <c r="N112" s="38">
        <f t="shared" si="46"/>
        <v>337.95</v>
      </c>
      <c r="O112" s="38"/>
      <c r="P112" s="38">
        <f t="shared" si="47"/>
        <v>84.4875</v>
      </c>
      <c r="Q112" s="40">
        <f t="shared" si="38"/>
        <v>3717.45</v>
      </c>
      <c r="R112" s="49">
        <v>45702.0</v>
      </c>
      <c r="S112" s="49">
        <v>45777.0</v>
      </c>
      <c r="T112" s="39" t="s">
        <v>483</v>
      </c>
      <c r="U112" s="47"/>
      <c r="V112" s="47"/>
      <c r="W112" s="47"/>
      <c r="X112" s="45"/>
      <c r="Y112" s="44"/>
      <c r="Z112" s="44"/>
      <c r="AA112" s="44"/>
      <c r="AB112" s="44"/>
      <c r="AC112" s="44"/>
      <c r="AD112" s="44"/>
      <c r="AE112" s="44"/>
      <c r="AF112" s="44"/>
      <c r="AG112" s="44"/>
      <c r="AH112" s="44"/>
      <c r="AI112" s="44"/>
      <c r="AJ112" s="44"/>
      <c r="AK112" s="44"/>
      <c r="AL112" s="44"/>
    </row>
    <row r="113" hidden="1">
      <c r="A113" s="34" t="b">
        <v>0</v>
      </c>
      <c r="B113" s="46">
        <v>45684.0</v>
      </c>
      <c r="C113" s="39" t="s">
        <v>150</v>
      </c>
      <c r="D113" s="37" t="s">
        <v>485</v>
      </c>
      <c r="E113" s="37" t="s">
        <v>237</v>
      </c>
      <c r="F113" s="37" t="s">
        <v>173</v>
      </c>
      <c r="G113" s="38">
        <v>617000.0</v>
      </c>
      <c r="H113" s="39" t="s">
        <v>486</v>
      </c>
      <c r="I113" s="39">
        <v>6.0</v>
      </c>
      <c r="J113" s="38">
        <f t="shared" si="7"/>
        <v>37020</v>
      </c>
      <c r="K113" s="38">
        <f t="shared" si="2"/>
        <v>1851</v>
      </c>
      <c r="L113" s="39">
        <v>88.0</v>
      </c>
      <c r="M113" s="38">
        <f t="shared" si="13"/>
        <v>32577.6</v>
      </c>
      <c r="N113" s="38">
        <f t="shared" si="46"/>
        <v>370.2</v>
      </c>
      <c r="O113" s="38">
        <f>J113*0.005</f>
        <v>185.1</v>
      </c>
      <c r="P113" s="38">
        <f>J113*0.0075</f>
        <v>277.65</v>
      </c>
      <c r="Q113" s="40">
        <f t="shared" si="38"/>
        <v>4072.2</v>
      </c>
      <c r="R113" s="49">
        <v>45716.0</v>
      </c>
      <c r="S113" s="49">
        <v>45736.0</v>
      </c>
      <c r="T113" s="39" t="s">
        <v>487</v>
      </c>
      <c r="U113" s="47"/>
      <c r="V113" s="47"/>
      <c r="W113" s="47"/>
      <c r="X113" s="45"/>
      <c r="Y113" s="44"/>
      <c r="Z113" s="44"/>
      <c r="AA113" s="44"/>
      <c r="AB113" s="44"/>
      <c r="AC113" s="44"/>
      <c r="AD113" s="44"/>
      <c r="AE113" s="44"/>
      <c r="AF113" s="44"/>
      <c r="AG113" s="44"/>
      <c r="AH113" s="44"/>
      <c r="AI113" s="44"/>
      <c r="AJ113" s="44"/>
      <c r="AK113" s="44"/>
      <c r="AL113" s="44"/>
    </row>
    <row r="114" hidden="1">
      <c r="A114" s="34" t="b">
        <v>0</v>
      </c>
      <c r="B114" s="46">
        <v>45688.0</v>
      </c>
      <c r="C114" s="39" t="s">
        <v>157</v>
      </c>
      <c r="D114" s="37" t="s">
        <v>488</v>
      </c>
      <c r="E114" s="37" t="s">
        <v>489</v>
      </c>
      <c r="F114" s="37" t="s">
        <v>490</v>
      </c>
      <c r="G114" s="38">
        <v>838592.0</v>
      </c>
      <c r="H114" s="39" t="s">
        <v>167</v>
      </c>
      <c r="I114" s="39">
        <v>7.0</v>
      </c>
      <c r="J114" s="38">
        <f t="shared" si="7"/>
        <v>58701.44</v>
      </c>
      <c r="K114" s="38">
        <f t="shared" si="2"/>
        <v>2935.072</v>
      </c>
      <c r="L114" s="39">
        <v>50.0</v>
      </c>
      <c r="M114" s="38">
        <f t="shared" si="13"/>
        <v>29350.72</v>
      </c>
      <c r="N114" s="38">
        <f>J114*0.31</f>
        <v>18197.4464</v>
      </c>
      <c r="O114" s="38"/>
      <c r="P114" s="38"/>
      <c r="Q114" s="40">
        <f t="shared" si="38"/>
        <v>11153.2736</v>
      </c>
      <c r="R114" s="49">
        <v>45721.0</v>
      </c>
      <c r="S114" s="49">
        <v>45744.0</v>
      </c>
      <c r="T114" s="39" t="s">
        <v>491</v>
      </c>
      <c r="U114" s="47"/>
      <c r="V114" s="47"/>
      <c r="W114" s="47"/>
      <c r="X114" s="45"/>
      <c r="Y114" s="44"/>
      <c r="Z114" s="44"/>
      <c r="AA114" s="44"/>
      <c r="AB114" s="44"/>
      <c r="AC114" s="44"/>
      <c r="AD114" s="44"/>
      <c r="AE114" s="44"/>
      <c r="AF114" s="44"/>
      <c r="AG114" s="44"/>
      <c r="AH114" s="44"/>
      <c r="AI114" s="44"/>
      <c r="AJ114" s="44"/>
      <c r="AK114" s="44"/>
      <c r="AL114" s="44"/>
    </row>
    <row r="115" hidden="1">
      <c r="A115" s="34" t="b">
        <v>0</v>
      </c>
      <c r="B115" s="46">
        <v>45692.0</v>
      </c>
      <c r="C115" s="39" t="s">
        <v>150</v>
      </c>
      <c r="D115" s="37" t="s">
        <v>492</v>
      </c>
      <c r="E115" s="37" t="s">
        <v>493</v>
      </c>
      <c r="F115" s="37" t="s">
        <v>375</v>
      </c>
      <c r="G115" s="38">
        <v>1050000.0</v>
      </c>
      <c r="H115" s="39" t="s">
        <v>223</v>
      </c>
      <c r="I115" s="39">
        <v>5.0</v>
      </c>
      <c r="J115" s="38">
        <f t="shared" si="7"/>
        <v>52500</v>
      </c>
      <c r="K115" s="38">
        <f t="shared" si="2"/>
        <v>2625</v>
      </c>
      <c r="L115" s="39">
        <v>88.0</v>
      </c>
      <c r="M115" s="38">
        <f t="shared" si="13"/>
        <v>46200</v>
      </c>
      <c r="N115" s="69">
        <f t="shared" ref="N115:N116" si="48">J115*0.022</f>
        <v>1155</v>
      </c>
      <c r="O115" s="69"/>
      <c r="P115" s="38">
        <f t="shared" ref="P115:P117" si="49">J115*0.0075</f>
        <v>393.75</v>
      </c>
      <c r="Q115" s="40">
        <f t="shared" si="38"/>
        <v>5145</v>
      </c>
      <c r="R115" s="49">
        <v>45726.0</v>
      </c>
      <c r="S115" s="49">
        <v>45757.0</v>
      </c>
      <c r="T115" s="39" t="s">
        <v>494</v>
      </c>
      <c r="U115" s="39" t="s">
        <v>495</v>
      </c>
      <c r="V115" s="47"/>
      <c r="W115" s="47"/>
      <c r="X115" s="45"/>
      <c r="Y115" s="44"/>
      <c r="Z115" s="44"/>
      <c r="AA115" s="44"/>
      <c r="AB115" s="44"/>
      <c r="AC115" s="44"/>
      <c r="AD115" s="44"/>
      <c r="AE115" s="44"/>
      <c r="AF115" s="44"/>
      <c r="AG115" s="44"/>
      <c r="AH115" s="44"/>
      <c r="AI115" s="44"/>
      <c r="AJ115" s="44"/>
      <c r="AK115" s="44"/>
      <c r="AL115" s="44"/>
    </row>
    <row r="116" hidden="1">
      <c r="A116" s="34" t="b">
        <v>0</v>
      </c>
      <c r="B116" s="46">
        <v>45694.0</v>
      </c>
      <c r="C116" s="39" t="s">
        <v>150</v>
      </c>
      <c r="D116" s="37" t="s">
        <v>496</v>
      </c>
      <c r="E116" s="37" t="s">
        <v>493</v>
      </c>
      <c r="F116" s="37" t="s">
        <v>375</v>
      </c>
      <c r="G116" s="38">
        <v>847390.0</v>
      </c>
      <c r="H116" s="39" t="s">
        <v>279</v>
      </c>
      <c r="I116" s="39">
        <v>6.0</v>
      </c>
      <c r="J116" s="38">
        <f t="shared" si="7"/>
        <v>50843.4</v>
      </c>
      <c r="K116" s="38">
        <f t="shared" si="2"/>
        <v>2542.17</v>
      </c>
      <c r="L116" s="39">
        <v>88.0</v>
      </c>
      <c r="M116" s="38">
        <f t="shared" si="13"/>
        <v>44742.192</v>
      </c>
      <c r="N116" s="69">
        <f t="shared" si="48"/>
        <v>1118.5548</v>
      </c>
      <c r="O116" s="69"/>
      <c r="P116" s="38">
        <f t="shared" si="49"/>
        <v>381.3255</v>
      </c>
      <c r="Q116" s="40">
        <f t="shared" si="38"/>
        <v>4982.6532</v>
      </c>
      <c r="R116" s="49">
        <v>45775.0</v>
      </c>
      <c r="S116" s="49">
        <v>45790.0</v>
      </c>
      <c r="T116" s="39" t="s">
        <v>497</v>
      </c>
      <c r="U116" s="39" t="s">
        <v>498</v>
      </c>
      <c r="V116" s="47"/>
      <c r="W116" s="47"/>
      <c r="X116" s="45"/>
      <c r="Y116" s="44"/>
      <c r="Z116" s="44"/>
      <c r="AA116" s="44"/>
      <c r="AB116" s="44"/>
      <c r="AC116" s="44"/>
      <c r="AD116" s="44"/>
      <c r="AE116" s="44"/>
      <c r="AF116" s="44"/>
      <c r="AG116" s="44"/>
      <c r="AH116" s="44"/>
      <c r="AI116" s="44"/>
      <c r="AJ116" s="44"/>
      <c r="AK116" s="44"/>
      <c r="AL116" s="44"/>
    </row>
    <row r="117" hidden="1">
      <c r="A117" s="34" t="b">
        <v>0</v>
      </c>
      <c r="B117" s="46">
        <v>45696.0</v>
      </c>
      <c r="C117" s="39" t="s">
        <v>150</v>
      </c>
      <c r="D117" s="37" t="s">
        <v>499</v>
      </c>
      <c r="E117" s="37" t="s">
        <v>203</v>
      </c>
      <c r="F117" s="37" t="s">
        <v>44</v>
      </c>
      <c r="G117" s="38">
        <v>4597000.0</v>
      </c>
      <c r="H117" s="39" t="s">
        <v>500</v>
      </c>
      <c r="I117" s="39">
        <v>4.0</v>
      </c>
      <c r="J117" s="38">
        <f t="shared" si="7"/>
        <v>183880</v>
      </c>
      <c r="K117" s="38">
        <f t="shared" si="2"/>
        <v>9194</v>
      </c>
      <c r="L117" s="39">
        <v>88.0</v>
      </c>
      <c r="M117" s="38">
        <f t="shared" si="13"/>
        <v>161814.4</v>
      </c>
      <c r="N117" s="69"/>
      <c r="O117" s="69"/>
      <c r="P117" s="38">
        <f t="shared" si="49"/>
        <v>1379.1</v>
      </c>
      <c r="Q117" s="40">
        <f t="shared" si="38"/>
        <v>22065.6</v>
      </c>
      <c r="R117" s="39"/>
      <c r="S117" s="49">
        <v>45810.0</v>
      </c>
      <c r="T117" s="39"/>
      <c r="U117" s="47"/>
      <c r="V117" s="47"/>
      <c r="W117" s="47"/>
      <c r="X117" s="45"/>
      <c r="Y117" s="44"/>
      <c r="Z117" s="44"/>
      <c r="AA117" s="44"/>
      <c r="AB117" s="44"/>
      <c r="AC117" s="44"/>
      <c r="AD117" s="44"/>
      <c r="AE117" s="44"/>
      <c r="AF117" s="44"/>
      <c r="AG117" s="44"/>
      <c r="AH117" s="44"/>
      <c r="AI117" s="44"/>
      <c r="AJ117" s="44"/>
      <c r="AK117" s="44"/>
      <c r="AL117" s="44"/>
    </row>
    <row r="118" hidden="1">
      <c r="A118" s="34" t="b">
        <v>0</v>
      </c>
      <c r="B118" s="46">
        <v>45698.0</v>
      </c>
      <c r="C118" s="39" t="s">
        <v>150</v>
      </c>
      <c r="D118" s="37" t="s">
        <v>501</v>
      </c>
      <c r="E118" s="37" t="s">
        <v>426</v>
      </c>
      <c r="F118" s="37" t="s">
        <v>481</v>
      </c>
      <c r="G118" s="38">
        <v>978405.0</v>
      </c>
      <c r="H118" s="39" t="s">
        <v>482</v>
      </c>
      <c r="I118" s="39">
        <v>4.0</v>
      </c>
      <c r="J118" s="38">
        <f t="shared" si="7"/>
        <v>39136.2</v>
      </c>
      <c r="K118" s="38">
        <f t="shared" si="2"/>
        <v>1956.81</v>
      </c>
      <c r="L118" s="39">
        <v>88.0</v>
      </c>
      <c r="M118" s="38">
        <f t="shared" si="13"/>
        <v>34439.856</v>
      </c>
      <c r="N118" s="69">
        <f>J118*0.01</f>
        <v>391.362</v>
      </c>
      <c r="O118" s="69"/>
      <c r="P118" s="38">
        <f>J118*0.0025</f>
        <v>97.8405</v>
      </c>
      <c r="Q118" s="40">
        <f t="shared" si="38"/>
        <v>4304.982</v>
      </c>
      <c r="R118" s="49">
        <v>45702.0</v>
      </c>
      <c r="S118" s="49">
        <v>45777.0</v>
      </c>
      <c r="T118" s="39" t="s">
        <v>502</v>
      </c>
      <c r="U118" s="47"/>
      <c r="V118" s="47"/>
      <c r="W118" s="47"/>
      <c r="X118" s="45"/>
      <c r="Y118" s="44"/>
      <c r="Z118" s="44"/>
      <c r="AA118" s="44"/>
      <c r="AB118" s="44"/>
      <c r="AC118" s="44"/>
      <c r="AD118" s="44"/>
      <c r="AE118" s="44"/>
      <c r="AF118" s="44"/>
      <c r="AG118" s="44"/>
      <c r="AH118" s="44"/>
      <c r="AI118" s="44"/>
      <c r="AJ118" s="44"/>
      <c r="AK118" s="44"/>
      <c r="AL118" s="44"/>
    </row>
    <row r="119">
      <c r="A119" s="34" t="b">
        <v>0</v>
      </c>
      <c r="B119" s="46">
        <v>45698.0</v>
      </c>
      <c r="C119" s="39" t="s">
        <v>150</v>
      </c>
      <c r="D119" s="37" t="s">
        <v>503</v>
      </c>
      <c r="E119" s="37" t="s">
        <v>493</v>
      </c>
      <c r="F119" s="37" t="s">
        <v>375</v>
      </c>
      <c r="G119" s="38">
        <v>715869.0</v>
      </c>
      <c r="H119" s="39" t="s">
        <v>230</v>
      </c>
      <c r="I119" s="39">
        <v>5.0</v>
      </c>
      <c r="J119" s="38">
        <f t="shared" si="7"/>
        <v>35793.45</v>
      </c>
      <c r="K119" s="38">
        <f t="shared" si="2"/>
        <v>1789.6725</v>
      </c>
      <c r="L119" s="39">
        <v>88.0</v>
      </c>
      <c r="M119" s="38">
        <f t="shared" si="13"/>
        <v>31498.236</v>
      </c>
      <c r="N119" s="69">
        <f>J119*0.022</f>
        <v>787.4559</v>
      </c>
      <c r="O119" s="69"/>
      <c r="P119" s="38">
        <f>J119*0.0075</f>
        <v>268.450875</v>
      </c>
      <c r="Q119" s="40">
        <f t="shared" si="38"/>
        <v>3507.7581</v>
      </c>
      <c r="R119" s="49">
        <v>45702.0</v>
      </c>
      <c r="S119" s="39"/>
      <c r="T119" s="39" t="s">
        <v>502</v>
      </c>
      <c r="U119" s="39" t="s">
        <v>504</v>
      </c>
      <c r="V119" s="47"/>
      <c r="W119" s="47"/>
      <c r="X119" s="45"/>
      <c r="Y119" s="44"/>
      <c r="Z119" s="44"/>
      <c r="AA119" s="44"/>
      <c r="AB119" s="44"/>
      <c r="AC119" s="44"/>
      <c r="AD119" s="44"/>
      <c r="AE119" s="44"/>
      <c r="AF119" s="44"/>
      <c r="AG119" s="44"/>
      <c r="AH119" s="44"/>
      <c r="AI119" s="44"/>
      <c r="AJ119" s="44"/>
      <c r="AK119" s="44"/>
      <c r="AL119" s="44"/>
    </row>
    <row r="120" hidden="1">
      <c r="A120" s="92" t="b">
        <v>0</v>
      </c>
      <c r="B120" s="46">
        <v>45699.0</v>
      </c>
      <c r="C120" s="39" t="s">
        <v>150</v>
      </c>
      <c r="D120" s="37" t="s">
        <v>505</v>
      </c>
      <c r="E120" s="37" t="s">
        <v>426</v>
      </c>
      <c r="F120" s="37" t="s">
        <v>481</v>
      </c>
      <c r="G120" s="38">
        <v>1337427.0</v>
      </c>
      <c r="H120" s="39" t="s">
        <v>506</v>
      </c>
      <c r="I120" s="39">
        <v>6.0</v>
      </c>
      <c r="J120" s="38">
        <f t="shared" si="7"/>
        <v>80245.62</v>
      </c>
      <c r="K120" s="38">
        <f t="shared" si="2"/>
        <v>4012.281</v>
      </c>
      <c r="L120" s="39">
        <v>88.0</v>
      </c>
      <c r="M120" s="38">
        <f t="shared" si="13"/>
        <v>70616.1456</v>
      </c>
      <c r="N120" s="69">
        <f>J120*0.01</f>
        <v>802.4562</v>
      </c>
      <c r="O120" s="69"/>
      <c r="P120" s="38">
        <f>J120*0.0025</f>
        <v>200.61405</v>
      </c>
      <c r="Q120" s="40">
        <f t="shared" si="38"/>
        <v>8827.0182</v>
      </c>
      <c r="R120" s="39"/>
      <c r="S120" s="49">
        <v>45743.0</v>
      </c>
      <c r="T120" s="39" t="s">
        <v>507</v>
      </c>
      <c r="U120" s="47"/>
      <c r="V120" s="47"/>
      <c r="W120" s="47"/>
      <c r="X120" s="45"/>
      <c r="Y120" s="44"/>
      <c r="Z120" s="44"/>
      <c r="AA120" s="44"/>
      <c r="AB120" s="44"/>
      <c r="AC120" s="44"/>
      <c r="AD120" s="44"/>
      <c r="AE120" s="44"/>
      <c r="AF120" s="44"/>
      <c r="AG120" s="44"/>
      <c r="AH120" s="44"/>
      <c r="AI120" s="44"/>
      <c r="AJ120" s="44"/>
      <c r="AK120" s="44"/>
      <c r="AL120" s="44"/>
    </row>
    <row r="121" hidden="1">
      <c r="A121" s="92" t="b">
        <v>0</v>
      </c>
      <c r="B121" s="46">
        <v>45700.0</v>
      </c>
      <c r="C121" s="39" t="s">
        <v>157</v>
      </c>
      <c r="D121" s="37" t="s">
        <v>508</v>
      </c>
      <c r="E121" s="37" t="s">
        <v>401</v>
      </c>
      <c r="F121" s="37" t="s">
        <v>157</v>
      </c>
      <c r="G121" s="38">
        <v>1.9603397E7</v>
      </c>
      <c r="H121" s="39" t="s">
        <v>185</v>
      </c>
      <c r="I121" s="39">
        <v>4.0</v>
      </c>
      <c r="J121" s="38">
        <f t="shared" si="7"/>
        <v>784135.88</v>
      </c>
      <c r="K121" s="38">
        <f t="shared" si="2"/>
        <v>39206.794</v>
      </c>
      <c r="L121" s="39">
        <v>90.0</v>
      </c>
      <c r="M121" s="38">
        <f t="shared" si="13"/>
        <v>705722.292</v>
      </c>
      <c r="N121" s="38"/>
      <c r="O121" s="38">
        <f>J121*0.005</f>
        <v>3920.6794</v>
      </c>
      <c r="P121" s="38"/>
      <c r="Q121" s="40">
        <f t="shared" si="38"/>
        <v>78413.588</v>
      </c>
      <c r="R121" s="49">
        <v>45717.0</v>
      </c>
      <c r="S121" s="49">
        <v>45734.0</v>
      </c>
      <c r="T121" s="39" t="s">
        <v>509</v>
      </c>
      <c r="U121" s="47"/>
      <c r="V121" s="47"/>
      <c r="W121" s="47"/>
      <c r="X121" s="45"/>
      <c r="Y121" s="44"/>
      <c r="Z121" s="44"/>
      <c r="AA121" s="44"/>
      <c r="AB121" s="44"/>
      <c r="AC121" s="44"/>
      <c r="AD121" s="44"/>
      <c r="AE121" s="44"/>
      <c r="AF121" s="44"/>
      <c r="AG121" s="44"/>
      <c r="AH121" s="44"/>
      <c r="AI121" s="44"/>
      <c r="AJ121" s="44"/>
      <c r="AK121" s="44"/>
      <c r="AL121" s="44"/>
    </row>
    <row r="122" hidden="1">
      <c r="A122" s="92" t="b">
        <v>0</v>
      </c>
      <c r="B122" s="46">
        <v>45702.0</v>
      </c>
      <c r="C122" s="39" t="s">
        <v>150</v>
      </c>
      <c r="D122" s="37" t="s">
        <v>510</v>
      </c>
      <c r="E122" s="37" t="s">
        <v>295</v>
      </c>
      <c r="F122" s="37" t="s">
        <v>44</v>
      </c>
      <c r="G122" s="38">
        <v>2273340.0</v>
      </c>
      <c r="H122" s="39" t="s">
        <v>257</v>
      </c>
      <c r="I122" s="39">
        <v>7.0</v>
      </c>
      <c r="J122" s="38">
        <f t="shared" si="7"/>
        <v>159133.8</v>
      </c>
      <c r="K122" s="38">
        <f t="shared" si="2"/>
        <v>7956.69</v>
      </c>
      <c r="L122" s="39">
        <v>88.0</v>
      </c>
      <c r="M122" s="38">
        <f t="shared" si="13"/>
        <v>140037.744</v>
      </c>
      <c r="N122" s="38"/>
      <c r="O122" s="38"/>
      <c r="P122" s="38">
        <f>J122*0.0075</f>
        <v>1193.5035</v>
      </c>
      <c r="Q122" s="40">
        <f t="shared" si="38"/>
        <v>19096.056</v>
      </c>
      <c r="R122" s="39"/>
      <c r="S122" s="49">
        <v>45717.0</v>
      </c>
      <c r="T122" s="39" t="s">
        <v>511</v>
      </c>
      <c r="U122" s="47"/>
      <c r="V122" s="47"/>
      <c r="W122" s="47"/>
      <c r="X122" s="45"/>
      <c r="Y122" s="44"/>
      <c r="Z122" s="44"/>
      <c r="AA122" s="44"/>
      <c r="AB122" s="44"/>
      <c r="AC122" s="44"/>
      <c r="AD122" s="44"/>
      <c r="AE122" s="44"/>
      <c r="AF122" s="44"/>
      <c r="AG122" s="44"/>
      <c r="AH122" s="44"/>
      <c r="AI122" s="44"/>
      <c r="AJ122" s="44"/>
      <c r="AK122" s="44"/>
      <c r="AL122" s="44"/>
    </row>
    <row r="123" hidden="1">
      <c r="A123" s="92" t="b">
        <v>0</v>
      </c>
      <c r="B123" s="46">
        <v>45707.0</v>
      </c>
      <c r="C123" s="39" t="s">
        <v>219</v>
      </c>
      <c r="D123" s="37" t="s">
        <v>512</v>
      </c>
      <c r="E123" s="37" t="s">
        <v>513</v>
      </c>
      <c r="F123" s="37" t="s">
        <v>514</v>
      </c>
      <c r="G123" s="38">
        <v>681592.2</v>
      </c>
      <c r="H123" s="39" t="s">
        <v>515</v>
      </c>
      <c r="I123" s="39">
        <v>5.0</v>
      </c>
      <c r="J123" s="38">
        <f t="shared" si="7"/>
        <v>34079.61</v>
      </c>
      <c r="K123" s="38">
        <f t="shared" si="2"/>
        <v>1703.9805</v>
      </c>
      <c r="L123" s="39">
        <v>50.0</v>
      </c>
      <c r="M123" s="38">
        <f t="shared" si="13"/>
        <v>17039.805</v>
      </c>
      <c r="N123" s="38">
        <f>J123*0.05</f>
        <v>1703.9805</v>
      </c>
      <c r="O123" s="38"/>
      <c r="P123" s="38"/>
      <c r="Q123" s="40">
        <f t="shared" si="38"/>
        <v>15335.8245</v>
      </c>
      <c r="R123" s="49">
        <v>45740.0</v>
      </c>
      <c r="S123" s="49">
        <v>45764.0</v>
      </c>
      <c r="T123" s="39" t="s">
        <v>516</v>
      </c>
      <c r="U123" s="47"/>
      <c r="V123" s="47"/>
      <c r="W123" s="39" t="s">
        <v>155</v>
      </c>
      <c r="X123" s="45"/>
      <c r="Y123" s="44"/>
      <c r="Z123" s="44"/>
      <c r="AA123" s="44"/>
      <c r="AB123" s="44"/>
      <c r="AC123" s="44"/>
      <c r="AD123" s="44"/>
      <c r="AE123" s="44"/>
      <c r="AF123" s="44"/>
      <c r="AG123" s="44"/>
      <c r="AH123" s="44"/>
      <c r="AI123" s="44"/>
      <c r="AJ123" s="44"/>
      <c r="AK123" s="44"/>
      <c r="AL123" s="44"/>
    </row>
    <row r="124" hidden="1">
      <c r="A124" s="92" t="b">
        <v>0</v>
      </c>
      <c r="B124" s="46">
        <v>45714.0</v>
      </c>
      <c r="C124" s="39" t="s">
        <v>219</v>
      </c>
      <c r="D124" s="37" t="s">
        <v>517</v>
      </c>
      <c r="E124" s="37" t="s">
        <v>184</v>
      </c>
      <c r="F124" s="37"/>
      <c r="G124" s="38">
        <v>3584000.0</v>
      </c>
      <c r="H124" s="39" t="s">
        <v>518</v>
      </c>
      <c r="I124" s="39">
        <v>3.0</v>
      </c>
      <c r="J124" s="38">
        <f t="shared" si="7"/>
        <v>107520</v>
      </c>
      <c r="K124" s="38">
        <f t="shared" si="2"/>
        <v>5376</v>
      </c>
      <c r="L124" s="39">
        <v>88.0</v>
      </c>
      <c r="M124" s="38">
        <f t="shared" si="13"/>
        <v>94617.6</v>
      </c>
      <c r="N124" s="38"/>
      <c r="O124" s="38"/>
      <c r="P124" s="38"/>
      <c r="Q124" s="40">
        <f t="shared" si="38"/>
        <v>12902.4</v>
      </c>
      <c r="R124" s="49">
        <v>45818.0</v>
      </c>
      <c r="S124" s="49">
        <v>45833.0</v>
      </c>
      <c r="T124" s="47"/>
      <c r="U124" s="47"/>
      <c r="V124" s="47"/>
      <c r="W124" s="47"/>
      <c r="X124" s="45"/>
      <c r="Y124" s="44"/>
      <c r="Z124" s="44"/>
      <c r="AA124" s="44"/>
      <c r="AB124" s="44"/>
      <c r="AC124" s="44"/>
      <c r="AD124" s="44"/>
      <c r="AE124" s="44"/>
      <c r="AF124" s="44"/>
      <c r="AG124" s="44"/>
      <c r="AH124" s="44"/>
      <c r="AI124" s="44"/>
      <c r="AJ124" s="44"/>
      <c r="AK124" s="44"/>
      <c r="AL124" s="44"/>
    </row>
    <row r="125" hidden="1">
      <c r="A125" s="92" t="b">
        <v>0</v>
      </c>
      <c r="B125" s="46">
        <v>45714.0</v>
      </c>
      <c r="C125" s="39" t="s">
        <v>150</v>
      </c>
      <c r="D125" s="37" t="s">
        <v>519</v>
      </c>
      <c r="E125" s="37" t="s">
        <v>520</v>
      </c>
      <c r="F125" s="37" t="s">
        <v>521</v>
      </c>
      <c r="G125" s="38">
        <v>700000.0</v>
      </c>
      <c r="H125" s="39" t="s">
        <v>522</v>
      </c>
      <c r="I125" s="39">
        <v>2.0</v>
      </c>
      <c r="J125" s="38">
        <f t="shared" si="7"/>
        <v>14000</v>
      </c>
      <c r="K125" s="38">
        <f t="shared" si="2"/>
        <v>700</v>
      </c>
      <c r="L125" s="39">
        <v>88.0</v>
      </c>
      <c r="M125" s="38">
        <f t="shared" si="13"/>
        <v>12320</v>
      </c>
      <c r="N125" s="38">
        <f t="shared" ref="N125:N128" si="50">J125*0.01</f>
        <v>140</v>
      </c>
      <c r="O125" s="38">
        <f t="shared" ref="O125:O128" si="51">J125*0.005</f>
        <v>70</v>
      </c>
      <c r="P125" s="38">
        <f t="shared" ref="P125:P128" si="52">J125*0.0075</f>
        <v>105</v>
      </c>
      <c r="Q125" s="40">
        <f t="shared" si="38"/>
        <v>1540</v>
      </c>
      <c r="R125" s="49">
        <v>45775.0</v>
      </c>
      <c r="S125" s="49">
        <v>45783.0</v>
      </c>
      <c r="T125" s="47"/>
      <c r="U125" s="47"/>
      <c r="V125" s="47"/>
      <c r="W125" s="47"/>
      <c r="X125" s="45"/>
      <c r="Y125" s="44"/>
      <c r="Z125" s="44"/>
      <c r="AA125" s="44"/>
      <c r="AB125" s="44"/>
      <c r="AC125" s="44"/>
      <c r="AD125" s="44"/>
      <c r="AE125" s="44"/>
      <c r="AF125" s="44"/>
      <c r="AG125" s="44"/>
      <c r="AH125" s="44"/>
      <c r="AI125" s="44"/>
      <c r="AJ125" s="44"/>
      <c r="AK125" s="44"/>
      <c r="AL125" s="44"/>
    </row>
    <row r="126" hidden="1">
      <c r="A126" s="92" t="b">
        <v>0</v>
      </c>
      <c r="B126" s="46">
        <v>45714.0</v>
      </c>
      <c r="C126" s="39" t="s">
        <v>150</v>
      </c>
      <c r="D126" s="37" t="s">
        <v>523</v>
      </c>
      <c r="E126" s="37" t="s">
        <v>520</v>
      </c>
      <c r="F126" s="37" t="s">
        <v>521</v>
      </c>
      <c r="G126" s="38">
        <v>700000.0</v>
      </c>
      <c r="H126" s="39" t="s">
        <v>522</v>
      </c>
      <c r="I126" s="39">
        <v>5.0</v>
      </c>
      <c r="J126" s="38">
        <f t="shared" si="7"/>
        <v>35000</v>
      </c>
      <c r="K126" s="38">
        <f t="shared" si="2"/>
        <v>1750</v>
      </c>
      <c r="L126" s="39">
        <v>88.0</v>
      </c>
      <c r="M126" s="38">
        <f t="shared" si="13"/>
        <v>30800</v>
      </c>
      <c r="N126" s="38">
        <f t="shared" si="50"/>
        <v>350</v>
      </c>
      <c r="O126" s="38">
        <f t="shared" si="51"/>
        <v>175</v>
      </c>
      <c r="P126" s="38">
        <f t="shared" si="52"/>
        <v>262.5</v>
      </c>
      <c r="Q126" s="40">
        <f t="shared" si="38"/>
        <v>3850</v>
      </c>
      <c r="R126" s="49">
        <v>45765.0</v>
      </c>
      <c r="S126" s="49">
        <v>45771.0</v>
      </c>
      <c r="T126" s="39" t="s">
        <v>524</v>
      </c>
      <c r="U126" s="47"/>
      <c r="V126" s="47"/>
      <c r="W126" s="47"/>
      <c r="X126" s="45"/>
      <c r="Y126" s="44"/>
      <c r="Z126" s="44"/>
      <c r="AA126" s="44"/>
      <c r="AB126" s="44"/>
      <c r="AC126" s="44"/>
      <c r="AD126" s="44"/>
      <c r="AE126" s="44"/>
      <c r="AF126" s="44"/>
      <c r="AG126" s="44"/>
      <c r="AH126" s="44"/>
      <c r="AI126" s="44"/>
      <c r="AJ126" s="44"/>
      <c r="AK126" s="44"/>
      <c r="AL126" s="44"/>
    </row>
    <row r="127" hidden="1">
      <c r="A127" s="92" t="b">
        <v>0</v>
      </c>
      <c r="B127" s="46">
        <v>45714.0</v>
      </c>
      <c r="C127" s="39" t="s">
        <v>150</v>
      </c>
      <c r="D127" s="37" t="s">
        <v>523</v>
      </c>
      <c r="E127" s="37" t="s">
        <v>520</v>
      </c>
      <c r="F127" s="37" t="s">
        <v>521</v>
      </c>
      <c r="G127" s="38">
        <v>700000.0</v>
      </c>
      <c r="H127" s="39" t="s">
        <v>522</v>
      </c>
      <c r="I127" s="39">
        <v>5.0</v>
      </c>
      <c r="J127" s="38">
        <f t="shared" si="7"/>
        <v>35000</v>
      </c>
      <c r="K127" s="38">
        <f t="shared" si="2"/>
        <v>1750</v>
      </c>
      <c r="L127" s="39">
        <v>88.0</v>
      </c>
      <c r="M127" s="38">
        <f t="shared" si="13"/>
        <v>30800</v>
      </c>
      <c r="N127" s="38">
        <f t="shared" si="50"/>
        <v>350</v>
      </c>
      <c r="O127" s="38">
        <f t="shared" si="51"/>
        <v>175</v>
      </c>
      <c r="P127" s="38">
        <f t="shared" si="52"/>
        <v>262.5</v>
      </c>
      <c r="Q127" s="40">
        <f t="shared" si="38"/>
        <v>3850</v>
      </c>
      <c r="R127" s="49">
        <v>45765.0</v>
      </c>
      <c r="S127" s="49">
        <v>45771.0</v>
      </c>
      <c r="T127" s="39" t="s">
        <v>524</v>
      </c>
      <c r="U127" s="47"/>
      <c r="V127" s="47"/>
      <c r="W127" s="47"/>
      <c r="X127" s="45"/>
      <c r="Y127" s="44"/>
      <c r="Z127" s="44"/>
      <c r="AA127" s="44"/>
      <c r="AB127" s="44"/>
      <c r="AC127" s="44"/>
      <c r="AD127" s="44"/>
      <c r="AE127" s="44"/>
      <c r="AF127" s="44"/>
      <c r="AG127" s="44"/>
      <c r="AH127" s="44"/>
      <c r="AI127" s="44"/>
      <c r="AJ127" s="44"/>
      <c r="AK127" s="44"/>
      <c r="AL127" s="44"/>
    </row>
    <row r="128" hidden="1">
      <c r="A128" s="92" t="b">
        <v>0</v>
      </c>
      <c r="B128" s="46">
        <v>45714.0</v>
      </c>
      <c r="C128" s="39" t="s">
        <v>150</v>
      </c>
      <c r="D128" s="37" t="s">
        <v>519</v>
      </c>
      <c r="E128" s="37" t="s">
        <v>520</v>
      </c>
      <c r="F128" s="37" t="s">
        <v>521</v>
      </c>
      <c r="G128" s="38">
        <v>700000.0</v>
      </c>
      <c r="H128" s="39" t="s">
        <v>522</v>
      </c>
      <c r="I128" s="39">
        <v>5.0</v>
      </c>
      <c r="J128" s="38">
        <f t="shared" si="7"/>
        <v>35000</v>
      </c>
      <c r="K128" s="38">
        <f t="shared" si="2"/>
        <v>1750</v>
      </c>
      <c r="L128" s="39">
        <v>88.0</v>
      </c>
      <c r="M128" s="38">
        <f t="shared" si="13"/>
        <v>30800</v>
      </c>
      <c r="N128" s="38">
        <f t="shared" si="50"/>
        <v>350</v>
      </c>
      <c r="O128" s="38">
        <f t="shared" si="51"/>
        <v>175</v>
      </c>
      <c r="P128" s="38">
        <f t="shared" si="52"/>
        <v>262.5</v>
      </c>
      <c r="Q128" s="40">
        <f t="shared" si="38"/>
        <v>3850</v>
      </c>
      <c r="R128" s="49">
        <v>45775.0</v>
      </c>
      <c r="S128" s="49">
        <v>45784.0</v>
      </c>
      <c r="T128" s="47"/>
      <c r="U128" s="47"/>
      <c r="V128" s="47"/>
      <c r="W128" s="47"/>
      <c r="X128" s="45"/>
      <c r="Y128" s="53"/>
      <c r="Z128" s="53"/>
      <c r="AA128" s="53"/>
      <c r="AB128" s="53"/>
      <c r="AC128" s="53"/>
      <c r="AD128" s="53"/>
      <c r="AE128" s="53"/>
      <c r="AF128" s="53"/>
      <c r="AG128" s="53"/>
      <c r="AH128" s="53"/>
      <c r="AI128" s="53"/>
      <c r="AJ128" s="53"/>
      <c r="AK128" s="53"/>
      <c r="AL128" s="53"/>
    </row>
    <row r="129" hidden="1">
      <c r="A129" s="92" t="b">
        <v>0</v>
      </c>
      <c r="B129" s="46">
        <v>45715.0</v>
      </c>
      <c r="C129" s="39" t="s">
        <v>219</v>
      </c>
      <c r="D129" s="37" t="s">
        <v>525</v>
      </c>
      <c r="E129" s="37" t="s">
        <v>513</v>
      </c>
      <c r="F129" s="37" t="s">
        <v>514</v>
      </c>
      <c r="G129" s="38">
        <v>754785.44</v>
      </c>
      <c r="H129" s="39" t="s">
        <v>515</v>
      </c>
      <c r="I129" s="39">
        <v>5.0</v>
      </c>
      <c r="J129" s="38">
        <f t="shared" si="7"/>
        <v>37739.272</v>
      </c>
      <c r="K129" s="38">
        <f t="shared" si="2"/>
        <v>1886.9636</v>
      </c>
      <c r="L129" s="39">
        <v>80.0</v>
      </c>
      <c r="M129" s="38">
        <f t="shared" si="13"/>
        <v>30191.4176</v>
      </c>
      <c r="N129" s="38">
        <f>J129*0.05</f>
        <v>1886.9636</v>
      </c>
      <c r="O129" s="38"/>
      <c r="P129" s="38"/>
      <c r="Q129" s="40">
        <f t="shared" si="38"/>
        <v>5660.8908</v>
      </c>
      <c r="R129" s="49">
        <v>45744.0</v>
      </c>
      <c r="S129" s="49">
        <v>45778.0</v>
      </c>
      <c r="T129" s="39" t="s">
        <v>526</v>
      </c>
      <c r="U129" s="47"/>
      <c r="V129" s="47"/>
      <c r="W129" s="47"/>
      <c r="X129" s="45"/>
      <c r="Y129" s="44"/>
      <c r="Z129" s="44"/>
      <c r="AA129" s="44"/>
      <c r="AB129" s="44"/>
      <c r="AC129" s="44"/>
      <c r="AD129" s="44"/>
      <c r="AE129" s="44"/>
      <c r="AF129" s="44"/>
      <c r="AG129" s="44"/>
      <c r="AH129" s="44"/>
      <c r="AI129" s="44"/>
      <c r="AJ129" s="44"/>
      <c r="AK129" s="44"/>
      <c r="AL129" s="44"/>
    </row>
    <row r="130" hidden="1">
      <c r="A130" s="92" t="b">
        <v>0</v>
      </c>
      <c r="B130" s="46">
        <v>45715.0</v>
      </c>
      <c r="C130" s="39" t="s">
        <v>157</v>
      </c>
      <c r="D130" s="37" t="s">
        <v>527</v>
      </c>
      <c r="E130" s="37" t="s">
        <v>528</v>
      </c>
      <c r="F130" s="37" t="s">
        <v>529</v>
      </c>
      <c r="G130" s="38">
        <v>1032731.0</v>
      </c>
      <c r="H130" s="39" t="s">
        <v>198</v>
      </c>
      <c r="I130" s="39">
        <v>7.0</v>
      </c>
      <c r="J130" s="38">
        <f t="shared" si="7"/>
        <v>72291.17</v>
      </c>
      <c r="K130" s="38">
        <f t="shared" si="2"/>
        <v>3614.5585</v>
      </c>
      <c r="L130" s="39">
        <v>50.0</v>
      </c>
      <c r="M130" s="38">
        <f t="shared" si="13"/>
        <v>36145.585</v>
      </c>
      <c r="N130" s="38">
        <f>J130*0.3</f>
        <v>21687.351</v>
      </c>
      <c r="O130" s="38"/>
      <c r="P130" s="38"/>
      <c r="Q130" s="40">
        <f t="shared" si="38"/>
        <v>14458.234</v>
      </c>
      <c r="R130" s="49">
        <v>45727.0</v>
      </c>
      <c r="S130" s="49">
        <v>45846.0</v>
      </c>
      <c r="T130" s="39" t="s">
        <v>530</v>
      </c>
      <c r="U130" s="47"/>
      <c r="V130" s="47"/>
      <c r="W130" s="47"/>
      <c r="X130" s="45"/>
      <c r="Y130" s="44"/>
      <c r="Z130" s="44"/>
      <c r="AA130" s="44"/>
      <c r="AB130" s="44"/>
      <c r="AC130" s="44"/>
      <c r="AD130" s="44"/>
      <c r="AE130" s="44"/>
      <c r="AF130" s="44"/>
      <c r="AG130" s="44"/>
      <c r="AH130" s="44"/>
      <c r="AI130" s="44"/>
      <c r="AJ130" s="44"/>
      <c r="AK130" s="44"/>
      <c r="AL130" s="44"/>
    </row>
    <row r="131" hidden="1">
      <c r="A131" s="92" t="b">
        <v>0</v>
      </c>
      <c r="B131" s="46">
        <v>45717.0</v>
      </c>
      <c r="C131" s="39" t="s">
        <v>150</v>
      </c>
      <c r="D131" s="37" t="s">
        <v>354</v>
      </c>
      <c r="E131" s="37" t="s">
        <v>355</v>
      </c>
      <c r="F131" s="37" t="s">
        <v>333</v>
      </c>
      <c r="G131" s="38">
        <v>848585.0</v>
      </c>
      <c r="H131" s="39" t="s">
        <v>234</v>
      </c>
      <c r="I131" s="39">
        <v>6.0</v>
      </c>
      <c r="J131" s="38">
        <f t="shared" si="7"/>
        <v>50915.1</v>
      </c>
      <c r="K131" s="38">
        <f t="shared" si="2"/>
        <v>2545.755</v>
      </c>
      <c r="L131" s="39">
        <v>88.0</v>
      </c>
      <c r="M131" s="38">
        <f t="shared" si="13"/>
        <v>44805.288</v>
      </c>
      <c r="N131" s="38">
        <f t="shared" ref="N131:N135" si="53">J131*0.01</f>
        <v>509.151</v>
      </c>
      <c r="O131" s="38"/>
      <c r="P131" s="38">
        <f t="shared" ref="P131:P132" si="54">J131*0.0075</f>
        <v>381.86325</v>
      </c>
      <c r="Q131" s="40">
        <f t="shared" si="38"/>
        <v>5600.661</v>
      </c>
      <c r="R131" s="49">
        <v>45729.0</v>
      </c>
      <c r="S131" s="49">
        <v>45797.0</v>
      </c>
      <c r="T131" s="39" t="s">
        <v>531</v>
      </c>
      <c r="U131" s="47"/>
      <c r="V131" s="47"/>
      <c r="W131" s="47"/>
      <c r="X131" s="45"/>
      <c r="Y131" s="44"/>
      <c r="Z131" s="44"/>
      <c r="AA131" s="44"/>
      <c r="AB131" s="44"/>
      <c r="AC131" s="44"/>
      <c r="AD131" s="44"/>
      <c r="AE131" s="44"/>
      <c r="AF131" s="44"/>
      <c r="AG131" s="44"/>
      <c r="AH131" s="44"/>
      <c r="AI131" s="44"/>
      <c r="AJ131" s="44"/>
      <c r="AK131" s="44"/>
      <c r="AL131" s="44"/>
    </row>
    <row r="132" hidden="1">
      <c r="A132" s="92" t="b">
        <v>0</v>
      </c>
      <c r="B132" s="46">
        <v>45719.0</v>
      </c>
      <c r="C132" s="39" t="s">
        <v>150</v>
      </c>
      <c r="D132" s="37" t="s">
        <v>532</v>
      </c>
      <c r="E132" s="37" t="s">
        <v>533</v>
      </c>
      <c r="F132" s="37" t="s">
        <v>222</v>
      </c>
      <c r="G132" s="38">
        <v>2640500.0</v>
      </c>
      <c r="H132" s="39" t="s">
        <v>506</v>
      </c>
      <c r="I132" s="39">
        <v>6.0</v>
      </c>
      <c r="J132" s="38">
        <f t="shared" si="7"/>
        <v>158430</v>
      </c>
      <c r="K132" s="38">
        <f t="shared" si="2"/>
        <v>7921.5</v>
      </c>
      <c r="L132" s="39">
        <v>88.0</v>
      </c>
      <c r="M132" s="38">
        <f t="shared" si="13"/>
        <v>139418.4</v>
      </c>
      <c r="N132" s="38">
        <f t="shared" si="53"/>
        <v>1584.3</v>
      </c>
      <c r="O132" s="38"/>
      <c r="P132" s="38">
        <f t="shared" si="54"/>
        <v>1188.225</v>
      </c>
      <c r="Q132" s="40">
        <f>J132-M132-N132-P132</f>
        <v>16239.075</v>
      </c>
      <c r="R132" s="49">
        <v>45742.0</v>
      </c>
      <c r="S132" s="49">
        <v>45772.0</v>
      </c>
      <c r="T132" s="39" t="s">
        <v>534</v>
      </c>
      <c r="U132" s="93"/>
      <c r="V132" s="47"/>
      <c r="W132" s="47"/>
      <c r="X132" s="45"/>
    </row>
    <row r="133" hidden="1">
      <c r="A133" s="92" t="b">
        <v>0</v>
      </c>
      <c r="B133" s="46">
        <v>45719.0</v>
      </c>
      <c r="C133" s="39" t="s">
        <v>150</v>
      </c>
      <c r="D133" s="37" t="s">
        <v>535</v>
      </c>
      <c r="E133" s="37" t="s">
        <v>426</v>
      </c>
      <c r="F133" s="37" t="s">
        <v>481</v>
      </c>
      <c r="G133" s="38">
        <v>1274501.4</v>
      </c>
      <c r="H133" s="39" t="s">
        <v>506</v>
      </c>
      <c r="I133" s="39">
        <v>6.0</v>
      </c>
      <c r="J133" s="38">
        <f t="shared" si="7"/>
        <v>76470.084</v>
      </c>
      <c r="K133" s="38">
        <f t="shared" si="2"/>
        <v>3823.5042</v>
      </c>
      <c r="L133" s="39">
        <v>88.0</v>
      </c>
      <c r="M133" s="38">
        <f t="shared" si="13"/>
        <v>67293.67392</v>
      </c>
      <c r="N133" s="38">
        <f t="shared" si="53"/>
        <v>764.70084</v>
      </c>
      <c r="O133" s="38"/>
      <c r="P133" s="38">
        <f t="shared" ref="P133:P135" si="55">J133*0.0025</f>
        <v>191.17521</v>
      </c>
      <c r="Q133" s="40">
        <f t="shared" ref="Q133:Q134" si="56">J133-M133-N133</f>
        <v>8411.70924</v>
      </c>
      <c r="R133" s="49">
        <v>45754.0</v>
      </c>
      <c r="S133" s="49">
        <v>45763.0</v>
      </c>
      <c r="T133" s="39" t="s">
        <v>536</v>
      </c>
      <c r="U133" s="59" t="s">
        <v>277</v>
      </c>
      <c r="V133" s="47"/>
      <c r="W133" s="47"/>
      <c r="X133" s="45"/>
      <c r="Y133" s="44"/>
      <c r="Z133" s="44"/>
      <c r="AA133" s="44"/>
      <c r="AB133" s="44"/>
      <c r="AC133" s="44"/>
      <c r="AD133" s="44"/>
      <c r="AE133" s="44"/>
      <c r="AF133" s="44"/>
      <c r="AG133" s="44"/>
      <c r="AH133" s="44"/>
      <c r="AI133" s="44"/>
      <c r="AJ133" s="44"/>
      <c r="AK133" s="44"/>
      <c r="AL133" s="44"/>
    </row>
    <row r="134" hidden="1">
      <c r="A134" s="92" t="b">
        <v>0</v>
      </c>
      <c r="B134" s="46">
        <v>45719.0</v>
      </c>
      <c r="C134" s="39" t="s">
        <v>150</v>
      </c>
      <c r="D134" s="37" t="s">
        <v>535</v>
      </c>
      <c r="E134" s="37" t="s">
        <v>426</v>
      </c>
      <c r="F134" s="37" t="s">
        <v>481</v>
      </c>
      <c r="G134" s="38">
        <v>1283469.0</v>
      </c>
      <c r="H134" s="39" t="s">
        <v>506</v>
      </c>
      <c r="I134" s="39">
        <v>6.0</v>
      </c>
      <c r="J134" s="38">
        <f t="shared" si="7"/>
        <v>77008.14</v>
      </c>
      <c r="K134" s="38">
        <f t="shared" si="2"/>
        <v>3850.407</v>
      </c>
      <c r="L134" s="39">
        <v>88.0</v>
      </c>
      <c r="M134" s="38">
        <f t="shared" si="13"/>
        <v>67767.1632</v>
      </c>
      <c r="N134" s="38">
        <f t="shared" si="53"/>
        <v>770.0814</v>
      </c>
      <c r="O134" s="38"/>
      <c r="P134" s="38">
        <f t="shared" si="55"/>
        <v>192.52035</v>
      </c>
      <c r="Q134" s="40">
        <f t="shared" si="56"/>
        <v>8470.8954</v>
      </c>
      <c r="R134" s="49">
        <v>45750.0</v>
      </c>
      <c r="S134" s="49">
        <v>45763.0</v>
      </c>
      <c r="T134" s="39" t="s">
        <v>537</v>
      </c>
      <c r="U134" s="59" t="s">
        <v>277</v>
      </c>
      <c r="V134" s="47"/>
      <c r="W134" s="47"/>
      <c r="X134" s="45"/>
      <c r="Y134" s="44"/>
      <c r="Z134" s="44"/>
      <c r="AA134" s="44"/>
      <c r="AB134" s="44"/>
      <c r="AC134" s="44"/>
      <c r="AD134" s="44"/>
      <c r="AE134" s="44"/>
      <c r="AF134" s="44"/>
      <c r="AG134" s="44"/>
      <c r="AH134" s="44"/>
      <c r="AI134" s="44"/>
      <c r="AJ134" s="44"/>
      <c r="AK134" s="44"/>
      <c r="AL134" s="44"/>
    </row>
    <row r="135" hidden="1">
      <c r="A135" s="92" t="b">
        <v>0</v>
      </c>
      <c r="B135" s="46">
        <v>45719.0</v>
      </c>
      <c r="C135" s="39" t="s">
        <v>150</v>
      </c>
      <c r="D135" s="37" t="s">
        <v>538</v>
      </c>
      <c r="E135" s="37" t="s">
        <v>426</v>
      </c>
      <c r="F135" s="37" t="s">
        <v>481</v>
      </c>
      <c r="G135" s="38">
        <v>1322306.0</v>
      </c>
      <c r="H135" s="39" t="s">
        <v>506</v>
      </c>
      <c r="I135" s="39">
        <v>6.0</v>
      </c>
      <c r="J135" s="38">
        <f t="shared" si="7"/>
        <v>79338.36</v>
      </c>
      <c r="K135" s="38">
        <f t="shared" si="2"/>
        <v>3966.918</v>
      </c>
      <c r="L135" s="39">
        <v>85.0</v>
      </c>
      <c r="M135" s="38">
        <f t="shared" si="13"/>
        <v>67437.606</v>
      </c>
      <c r="N135" s="38">
        <f t="shared" si="53"/>
        <v>793.3836</v>
      </c>
      <c r="O135" s="38"/>
      <c r="P135" s="38">
        <f t="shared" si="55"/>
        <v>198.3459</v>
      </c>
      <c r="Q135" s="40">
        <f t="shared" ref="Q135:Q138" si="57">J135-M135-N135-P135</f>
        <v>10909.0245</v>
      </c>
      <c r="R135" s="35">
        <v>45975.0</v>
      </c>
      <c r="S135" s="49">
        <v>46056.0</v>
      </c>
      <c r="T135" s="94"/>
      <c r="U135" s="94"/>
      <c r="V135" s="47"/>
      <c r="W135" s="47"/>
      <c r="X135" s="45"/>
      <c r="Y135" s="44"/>
      <c r="Z135" s="44"/>
      <c r="AA135" s="44"/>
      <c r="AB135" s="44"/>
      <c r="AC135" s="44"/>
      <c r="AD135" s="44"/>
      <c r="AE135" s="44"/>
      <c r="AF135" s="44"/>
      <c r="AG135" s="44"/>
      <c r="AH135" s="44"/>
      <c r="AI135" s="44"/>
      <c r="AJ135" s="44"/>
      <c r="AK135" s="44"/>
      <c r="AL135" s="44"/>
    </row>
    <row r="136" hidden="1">
      <c r="A136" s="92" t="b">
        <v>0</v>
      </c>
      <c r="B136" s="46">
        <v>45725.0</v>
      </c>
      <c r="C136" s="39" t="s">
        <v>150</v>
      </c>
      <c r="D136" s="37" t="s">
        <v>539</v>
      </c>
      <c r="E136" s="37" t="s">
        <v>540</v>
      </c>
      <c r="F136" s="37" t="s">
        <v>44</v>
      </c>
      <c r="G136" s="38">
        <v>1682243.0</v>
      </c>
      <c r="H136" s="39" t="s">
        <v>506</v>
      </c>
      <c r="I136" s="39">
        <v>6.0</v>
      </c>
      <c r="J136" s="38">
        <f t="shared" si="7"/>
        <v>100934.58</v>
      </c>
      <c r="K136" s="38">
        <f t="shared" si="2"/>
        <v>5046.729</v>
      </c>
      <c r="L136" s="39">
        <v>88.0</v>
      </c>
      <c r="M136" s="38">
        <f t="shared" si="13"/>
        <v>88822.4304</v>
      </c>
      <c r="N136" s="38"/>
      <c r="O136" s="38"/>
      <c r="P136" s="38">
        <f>J136*0.0075</f>
        <v>757.00935</v>
      </c>
      <c r="Q136" s="40">
        <f t="shared" si="57"/>
        <v>11355.14025</v>
      </c>
      <c r="R136" s="49">
        <v>45775.0</v>
      </c>
      <c r="S136" s="49">
        <v>45786.0</v>
      </c>
      <c r="T136" s="47"/>
      <c r="U136" s="47"/>
      <c r="V136" s="47"/>
      <c r="W136" s="47"/>
      <c r="X136" s="45"/>
      <c r="Y136" s="44"/>
      <c r="Z136" s="44"/>
      <c r="AA136" s="44"/>
      <c r="AB136" s="44"/>
      <c r="AC136" s="44"/>
      <c r="AD136" s="44"/>
      <c r="AE136" s="44"/>
      <c r="AF136" s="44"/>
      <c r="AG136" s="44"/>
      <c r="AH136" s="44"/>
      <c r="AI136" s="44"/>
      <c r="AJ136" s="44"/>
      <c r="AK136" s="44"/>
      <c r="AL136" s="44"/>
    </row>
    <row r="137" hidden="1">
      <c r="A137" s="92" t="b">
        <v>0</v>
      </c>
      <c r="B137" s="46">
        <v>45728.0</v>
      </c>
      <c r="C137" s="39" t="s">
        <v>150</v>
      </c>
      <c r="D137" s="37" t="s">
        <v>541</v>
      </c>
      <c r="E137" s="37" t="s">
        <v>426</v>
      </c>
      <c r="F137" s="37" t="s">
        <v>481</v>
      </c>
      <c r="G137" s="38">
        <v>830036.0</v>
      </c>
      <c r="H137" s="39" t="s">
        <v>542</v>
      </c>
      <c r="I137" s="39">
        <v>6.0</v>
      </c>
      <c r="J137" s="38">
        <f t="shared" si="7"/>
        <v>49802.16</v>
      </c>
      <c r="K137" s="38">
        <f t="shared" si="2"/>
        <v>2490.108</v>
      </c>
      <c r="L137" s="39">
        <v>88.0</v>
      </c>
      <c r="M137" s="38">
        <f t="shared" si="13"/>
        <v>43825.9008</v>
      </c>
      <c r="N137" s="38">
        <f>J137*0.01</f>
        <v>498.0216</v>
      </c>
      <c r="O137" s="38"/>
      <c r="P137" s="38">
        <f>J137*0.0025</f>
        <v>124.5054</v>
      </c>
      <c r="Q137" s="40">
        <f t="shared" si="57"/>
        <v>5353.7322</v>
      </c>
      <c r="R137" s="49"/>
      <c r="S137" s="49">
        <v>45822.0</v>
      </c>
      <c r="T137" s="47"/>
      <c r="U137" s="47"/>
      <c r="V137" s="47"/>
      <c r="W137" s="47"/>
      <c r="X137" s="45"/>
      <c r="Y137" s="44"/>
      <c r="Z137" s="44"/>
      <c r="AA137" s="44"/>
      <c r="AB137" s="44"/>
      <c r="AC137" s="44"/>
      <c r="AD137" s="44"/>
      <c r="AE137" s="44"/>
      <c r="AF137" s="44"/>
      <c r="AG137" s="44"/>
      <c r="AH137" s="44"/>
      <c r="AI137" s="44"/>
      <c r="AJ137" s="44"/>
      <c r="AK137" s="44"/>
      <c r="AL137" s="44"/>
    </row>
    <row r="138" hidden="1">
      <c r="A138" s="92" t="b">
        <v>0</v>
      </c>
      <c r="B138" s="46">
        <v>45729.0</v>
      </c>
      <c r="C138" s="39" t="s">
        <v>150</v>
      </c>
      <c r="D138" s="37" t="s">
        <v>543</v>
      </c>
      <c r="E138" s="37" t="s">
        <v>200</v>
      </c>
      <c r="F138" s="38" t="s">
        <v>416</v>
      </c>
      <c r="G138" s="38">
        <v>514718.25</v>
      </c>
      <c r="H138" s="39" t="s">
        <v>284</v>
      </c>
      <c r="I138" s="39">
        <v>5.0</v>
      </c>
      <c r="J138" s="38">
        <f t="shared" si="7"/>
        <v>25735.9125</v>
      </c>
      <c r="K138" s="38">
        <f t="shared" si="2"/>
        <v>1286.795625</v>
      </c>
      <c r="L138" s="39">
        <v>80.0</v>
      </c>
      <c r="M138" s="38">
        <f t="shared" si="13"/>
        <v>20588.73</v>
      </c>
      <c r="N138" s="38">
        <f>J138*0.09</f>
        <v>2316.232125</v>
      </c>
      <c r="O138" s="38"/>
      <c r="P138" s="38">
        <f>J138*0.0075</f>
        <v>193.0193438</v>
      </c>
      <c r="Q138" s="40">
        <f t="shared" si="57"/>
        <v>2637.931031</v>
      </c>
      <c r="R138" s="39"/>
      <c r="S138" s="49">
        <v>45797.0</v>
      </c>
      <c r="T138" s="47"/>
      <c r="U138" s="47"/>
      <c r="V138" s="47"/>
      <c r="W138" s="47"/>
      <c r="X138" s="45"/>
    </row>
    <row r="139" hidden="1">
      <c r="A139" s="92" t="b">
        <v>0</v>
      </c>
      <c r="B139" s="46">
        <v>45730.0</v>
      </c>
      <c r="C139" s="39" t="s">
        <v>219</v>
      </c>
      <c r="D139" s="37" t="s">
        <v>544</v>
      </c>
      <c r="E139" s="37" t="s">
        <v>513</v>
      </c>
      <c r="F139" s="37" t="s">
        <v>514</v>
      </c>
      <c r="G139" s="38">
        <v>1873888.0</v>
      </c>
      <c r="H139" s="39" t="s">
        <v>273</v>
      </c>
      <c r="I139" s="39">
        <v>4.0</v>
      </c>
      <c r="J139" s="38">
        <f t="shared" si="7"/>
        <v>74955.52</v>
      </c>
      <c r="K139" s="38">
        <f t="shared" si="2"/>
        <v>3747.776</v>
      </c>
      <c r="L139" s="39">
        <v>50.0</v>
      </c>
      <c r="M139" s="38">
        <f t="shared" si="13"/>
        <v>37477.76</v>
      </c>
      <c r="N139" s="38">
        <f t="shared" ref="N139:N140" si="58">J139*0.05</f>
        <v>3747.776</v>
      </c>
      <c r="O139" s="38"/>
      <c r="P139" s="38"/>
      <c r="Q139" s="40">
        <f t="shared" ref="Q139:Q140" si="59">J139-M139-N139</f>
        <v>33729.984</v>
      </c>
      <c r="R139" s="39"/>
      <c r="S139" s="49">
        <v>45788.0</v>
      </c>
      <c r="T139" s="47"/>
      <c r="U139" s="47"/>
      <c r="V139" s="47"/>
      <c r="W139" s="47"/>
      <c r="X139" s="45"/>
      <c r="Y139" s="44"/>
      <c r="Z139" s="44"/>
      <c r="AA139" s="44"/>
      <c r="AB139" s="44"/>
      <c r="AC139" s="44"/>
      <c r="AD139" s="44"/>
      <c r="AE139" s="44"/>
      <c r="AF139" s="44"/>
      <c r="AG139" s="44"/>
      <c r="AH139" s="44"/>
      <c r="AI139" s="44"/>
      <c r="AJ139" s="44"/>
      <c r="AK139" s="44"/>
      <c r="AL139" s="44"/>
    </row>
    <row r="140" hidden="1">
      <c r="A140" s="92" t="b">
        <v>0</v>
      </c>
      <c r="B140" s="46">
        <v>45742.0</v>
      </c>
      <c r="C140" s="39" t="s">
        <v>219</v>
      </c>
      <c r="D140" s="37" t="s">
        <v>545</v>
      </c>
      <c r="E140" s="37" t="s">
        <v>513</v>
      </c>
      <c r="F140" s="37" t="s">
        <v>514</v>
      </c>
      <c r="G140" s="38">
        <v>706188.32</v>
      </c>
      <c r="H140" s="39" t="s">
        <v>515</v>
      </c>
      <c r="I140" s="39">
        <v>5.0</v>
      </c>
      <c r="J140" s="38">
        <f t="shared" si="7"/>
        <v>35309.416</v>
      </c>
      <c r="K140" s="38">
        <f t="shared" si="2"/>
        <v>1765.4708</v>
      </c>
      <c r="L140" s="39">
        <v>80.0</v>
      </c>
      <c r="M140" s="38">
        <f t="shared" si="13"/>
        <v>28247.5328</v>
      </c>
      <c r="N140" s="38">
        <f t="shared" si="58"/>
        <v>1765.4708</v>
      </c>
      <c r="O140" s="38"/>
      <c r="P140" s="38"/>
      <c r="Q140" s="40">
        <f t="shared" si="59"/>
        <v>5296.4124</v>
      </c>
      <c r="R140" s="49">
        <v>45828.0</v>
      </c>
      <c r="S140" s="49">
        <v>45903.0</v>
      </c>
      <c r="T140" s="39" t="s">
        <v>546</v>
      </c>
      <c r="U140" s="47"/>
      <c r="V140" s="47"/>
      <c r="W140" s="47"/>
      <c r="X140" s="45"/>
      <c r="Y140" s="44"/>
      <c r="Z140" s="44"/>
      <c r="AA140" s="44"/>
      <c r="AB140" s="44"/>
      <c r="AC140" s="44"/>
      <c r="AD140" s="44"/>
      <c r="AE140" s="44"/>
      <c r="AF140" s="44"/>
      <c r="AG140" s="44"/>
      <c r="AH140" s="44"/>
      <c r="AI140" s="44"/>
      <c r="AJ140" s="44"/>
      <c r="AK140" s="44"/>
      <c r="AL140" s="44"/>
    </row>
    <row r="141">
      <c r="A141" s="92" t="b">
        <v>0</v>
      </c>
      <c r="B141" s="46">
        <v>45743.0</v>
      </c>
      <c r="C141" s="39" t="s">
        <v>150</v>
      </c>
      <c r="D141" s="37" t="s">
        <v>547</v>
      </c>
      <c r="E141" s="37" t="s">
        <v>548</v>
      </c>
      <c r="F141" s="37" t="s">
        <v>549</v>
      </c>
      <c r="G141" s="38">
        <v>665000.0</v>
      </c>
      <c r="H141" s="39" t="s">
        <v>550</v>
      </c>
      <c r="I141" s="39">
        <v>8.0</v>
      </c>
      <c r="J141" s="38">
        <f t="shared" si="7"/>
        <v>53200</v>
      </c>
      <c r="K141" s="38">
        <f t="shared" si="2"/>
        <v>2660</v>
      </c>
      <c r="L141" s="39">
        <v>88.0</v>
      </c>
      <c r="M141" s="38">
        <f t="shared" si="13"/>
        <v>46816</v>
      </c>
      <c r="N141" s="38"/>
      <c r="O141" s="38"/>
      <c r="P141" s="38">
        <f t="shared" ref="P141:P146" si="60">J141*0.0075</f>
        <v>399</v>
      </c>
      <c r="Q141" s="40">
        <f t="shared" ref="Q141:Q146" si="61">J141-M141-N141-P141</f>
        <v>5985</v>
      </c>
      <c r="R141" s="49">
        <v>45819.0</v>
      </c>
      <c r="S141" s="39"/>
      <c r="T141" s="47"/>
      <c r="U141" s="47"/>
      <c r="V141" s="47"/>
      <c r="W141" s="47"/>
      <c r="X141" s="45"/>
      <c r="Y141" s="44"/>
      <c r="Z141" s="44"/>
      <c r="AA141" s="44"/>
      <c r="AB141" s="44"/>
      <c r="AC141" s="44"/>
      <c r="AD141" s="44"/>
      <c r="AE141" s="44"/>
      <c r="AF141" s="44"/>
      <c r="AG141" s="44"/>
      <c r="AH141" s="44"/>
      <c r="AI141" s="44"/>
      <c r="AJ141" s="44"/>
      <c r="AK141" s="44"/>
      <c r="AL141" s="44"/>
    </row>
    <row r="142" hidden="1">
      <c r="A142" s="92" t="b">
        <v>0</v>
      </c>
      <c r="B142" s="46">
        <v>45745.0</v>
      </c>
      <c r="C142" s="39" t="s">
        <v>150</v>
      </c>
      <c r="D142" s="37" t="s">
        <v>551</v>
      </c>
      <c r="E142" s="37" t="s">
        <v>552</v>
      </c>
      <c r="F142" s="37" t="s">
        <v>44</v>
      </c>
      <c r="G142" s="38">
        <v>2118490.0</v>
      </c>
      <c r="H142" s="39" t="s">
        <v>515</v>
      </c>
      <c r="I142" s="39">
        <v>5.0</v>
      </c>
      <c r="J142" s="38">
        <f t="shared" si="7"/>
        <v>105924.5</v>
      </c>
      <c r="K142" s="38">
        <f t="shared" si="2"/>
        <v>5296.225</v>
      </c>
      <c r="L142" s="39">
        <v>88.0</v>
      </c>
      <c r="M142" s="38">
        <f t="shared" si="13"/>
        <v>93213.56</v>
      </c>
      <c r="N142" s="38"/>
      <c r="O142" s="38"/>
      <c r="P142" s="38">
        <f t="shared" si="60"/>
        <v>794.43375</v>
      </c>
      <c r="Q142" s="40">
        <f t="shared" si="61"/>
        <v>11916.50625</v>
      </c>
      <c r="R142" s="49">
        <v>45765.0</v>
      </c>
      <c r="S142" s="49">
        <v>45861.0</v>
      </c>
      <c r="T142" s="39" t="s">
        <v>553</v>
      </c>
      <c r="U142" s="47"/>
      <c r="V142" s="47"/>
      <c r="W142" s="47"/>
      <c r="X142" s="45"/>
      <c r="Y142" s="44"/>
      <c r="Z142" s="44"/>
      <c r="AA142" s="44"/>
      <c r="AB142" s="44"/>
      <c r="AC142" s="44"/>
      <c r="AD142" s="44"/>
      <c r="AE142" s="44"/>
      <c r="AF142" s="44"/>
      <c r="AG142" s="44"/>
      <c r="AH142" s="44"/>
      <c r="AI142" s="44"/>
      <c r="AJ142" s="44"/>
      <c r="AK142" s="44"/>
      <c r="AL142" s="44"/>
    </row>
    <row r="143" hidden="1">
      <c r="A143" s="92" t="b">
        <v>0</v>
      </c>
      <c r="B143" s="46">
        <v>45749.0</v>
      </c>
      <c r="C143" s="39" t="s">
        <v>150</v>
      </c>
      <c r="D143" s="37" t="s">
        <v>554</v>
      </c>
      <c r="E143" s="37" t="s">
        <v>555</v>
      </c>
      <c r="F143" s="37" t="s">
        <v>514</v>
      </c>
      <c r="G143" s="38">
        <v>2172000.0</v>
      </c>
      <c r="H143" s="39" t="s">
        <v>556</v>
      </c>
      <c r="I143" s="39">
        <v>5.0</v>
      </c>
      <c r="J143" s="38">
        <f t="shared" si="7"/>
        <v>108600</v>
      </c>
      <c r="K143" s="38">
        <f t="shared" si="2"/>
        <v>5430</v>
      </c>
      <c r="L143" s="39">
        <v>88.0</v>
      </c>
      <c r="M143" s="38">
        <f t="shared" si="13"/>
        <v>95568</v>
      </c>
      <c r="N143" s="38">
        <f>J143*0.05</f>
        <v>5430</v>
      </c>
      <c r="O143" s="38"/>
      <c r="P143" s="38">
        <f t="shared" si="60"/>
        <v>814.5</v>
      </c>
      <c r="Q143" s="40">
        <f t="shared" si="61"/>
        <v>6787.5</v>
      </c>
      <c r="R143" s="49">
        <v>45786.0</v>
      </c>
      <c r="S143" s="49">
        <v>45853.0</v>
      </c>
      <c r="T143" s="47"/>
      <c r="U143" s="47"/>
      <c r="V143" s="47"/>
      <c r="W143" s="47"/>
      <c r="X143" s="45"/>
      <c r="Y143" s="44"/>
      <c r="Z143" s="44"/>
      <c r="AA143" s="44"/>
      <c r="AB143" s="44"/>
      <c r="AC143" s="44"/>
      <c r="AD143" s="44"/>
      <c r="AE143" s="44"/>
      <c r="AF143" s="44"/>
      <c r="AG143" s="44"/>
      <c r="AH143" s="44"/>
      <c r="AI143" s="44"/>
      <c r="AJ143" s="44"/>
      <c r="AK143" s="44"/>
      <c r="AL143" s="44"/>
    </row>
    <row r="144" hidden="1">
      <c r="A144" s="92" t="b">
        <v>0</v>
      </c>
      <c r="B144" s="46">
        <v>45750.0</v>
      </c>
      <c r="C144" s="39" t="s">
        <v>150</v>
      </c>
      <c r="D144" s="37" t="s">
        <v>557</v>
      </c>
      <c r="E144" s="37" t="s">
        <v>558</v>
      </c>
      <c r="F144" s="37" t="s">
        <v>559</v>
      </c>
      <c r="G144" s="38">
        <v>3910284.0</v>
      </c>
      <c r="H144" s="39" t="s">
        <v>560</v>
      </c>
      <c r="I144" s="39">
        <v>5.0</v>
      </c>
      <c r="J144" s="38">
        <f t="shared" si="7"/>
        <v>195514.2</v>
      </c>
      <c r="K144" s="38">
        <f t="shared" si="2"/>
        <v>9775.71</v>
      </c>
      <c r="L144" s="39">
        <v>88.0</v>
      </c>
      <c r="M144" s="38">
        <f t="shared" si="13"/>
        <v>172052.496</v>
      </c>
      <c r="N144" s="38">
        <f t="shared" ref="N144:N146" si="62">J144*0.01</f>
        <v>1955.142</v>
      </c>
      <c r="O144" s="38"/>
      <c r="P144" s="38">
        <f t="shared" si="60"/>
        <v>1466.3565</v>
      </c>
      <c r="Q144" s="40">
        <f t="shared" si="61"/>
        <v>20040.2055</v>
      </c>
      <c r="R144" s="49">
        <v>45845.0</v>
      </c>
      <c r="S144" s="49">
        <v>45847.0</v>
      </c>
      <c r="T144" s="47"/>
      <c r="U144" s="47"/>
      <c r="V144" s="47"/>
      <c r="W144" s="47"/>
      <c r="X144" s="45"/>
      <c r="Y144" s="44"/>
      <c r="Z144" s="44"/>
      <c r="AA144" s="44"/>
      <c r="AB144" s="44"/>
      <c r="AC144" s="44"/>
      <c r="AD144" s="44"/>
      <c r="AE144" s="44"/>
      <c r="AF144" s="44"/>
      <c r="AG144" s="44"/>
      <c r="AH144" s="44"/>
      <c r="AI144" s="44"/>
      <c r="AJ144" s="44"/>
      <c r="AK144" s="44"/>
      <c r="AL144" s="44"/>
    </row>
    <row r="145" hidden="1">
      <c r="A145" s="92" t="b">
        <v>0</v>
      </c>
      <c r="B145" s="46">
        <v>45750.0</v>
      </c>
      <c r="C145" s="39" t="s">
        <v>150</v>
      </c>
      <c r="D145" s="37" t="s">
        <v>561</v>
      </c>
      <c r="E145" s="37" t="s">
        <v>558</v>
      </c>
      <c r="F145" s="37" t="s">
        <v>559</v>
      </c>
      <c r="G145" s="38">
        <v>5217456.0</v>
      </c>
      <c r="H145" s="39" t="s">
        <v>560</v>
      </c>
      <c r="I145" s="39">
        <v>5.0</v>
      </c>
      <c r="J145" s="38">
        <f t="shared" si="7"/>
        <v>260872.8</v>
      </c>
      <c r="K145" s="38">
        <f t="shared" si="2"/>
        <v>13043.64</v>
      </c>
      <c r="L145" s="39">
        <v>88.0</v>
      </c>
      <c r="M145" s="38">
        <f t="shared" si="13"/>
        <v>229568.064</v>
      </c>
      <c r="N145" s="38">
        <f t="shared" si="62"/>
        <v>2608.728</v>
      </c>
      <c r="O145" s="38"/>
      <c r="P145" s="38">
        <f t="shared" si="60"/>
        <v>1956.546</v>
      </c>
      <c r="Q145" s="40">
        <f t="shared" si="61"/>
        <v>26739.462</v>
      </c>
      <c r="R145" s="49">
        <v>45811.0</v>
      </c>
      <c r="S145" s="49">
        <v>45818.0</v>
      </c>
      <c r="T145" s="47"/>
      <c r="U145" s="47"/>
      <c r="V145" s="47"/>
      <c r="W145" s="47"/>
      <c r="X145" s="45"/>
      <c r="Y145" s="44"/>
      <c r="Z145" s="44"/>
      <c r="AA145" s="44"/>
      <c r="AB145" s="44"/>
      <c r="AC145" s="44"/>
      <c r="AD145" s="44"/>
      <c r="AE145" s="44"/>
      <c r="AF145" s="44"/>
      <c r="AG145" s="44"/>
      <c r="AH145" s="44"/>
      <c r="AI145" s="44"/>
      <c r="AJ145" s="44"/>
      <c r="AK145" s="44"/>
      <c r="AL145" s="44"/>
    </row>
    <row r="146" hidden="1">
      <c r="A146" s="92" t="b">
        <v>0</v>
      </c>
      <c r="B146" s="46">
        <v>45756.0</v>
      </c>
      <c r="C146" s="39" t="s">
        <v>150</v>
      </c>
      <c r="D146" s="37" t="s">
        <v>562</v>
      </c>
      <c r="E146" s="37" t="s">
        <v>563</v>
      </c>
      <c r="F146" s="37" t="s">
        <v>564</v>
      </c>
      <c r="G146" s="38">
        <v>500000.0</v>
      </c>
      <c r="H146" s="39" t="s">
        <v>223</v>
      </c>
      <c r="I146" s="39">
        <v>6.0</v>
      </c>
      <c r="J146" s="38">
        <f t="shared" si="7"/>
        <v>30000</v>
      </c>
      <c r="K146" s="38">
        <f t="shared" si="2"/>
        <v>1500</v>
      </c>
      <c r="L146" s="39">
        <v>88.0</v>
      </c>
      <c r="M146" s="38">
        <f t="shared" si="13"/>
        <v>26400</v>
      </c>
      <c r="N146" s="38">
        <f t="shared" si="62"/>
        <v>300</v>
      </c>
      <c r="O146" s="49">
        <v>45777.0</v>
      </c>
      <c r="P146" s="38">
        <f t="shared" si="60"/>
        <v>225</v>
      </c>
      <c r="Q146" s="40">
        <f t="shared" si="61"/>
        <v>3075</v>
      </c>
      <c r="R146" s="49">
        <v>45777.0</v>
      </c>
      <c r="S146" s="49">
        <v>45873.0</v>
      </c>
      <c r="T146" s="47"/>
      <c r="U146" s="47"/>
      <c r="V146" s="47"/>
      <c r="W146" s="47"/>
      <c r="X146" s="45"/>
      <c r="Y146" s="44"/>
      <c r="Z146" s="44"/>
      <c r="AA146" s="44"/>
      <c r="AB146" s="44"/>
      <c r="AC146" s="44"/>
      <c r="AD146" s="44"/>
      <c r="AE146" s="44"/>
      <c r="AF146" s="44"/>
      <c r="AG146" s="44"/>
      <c r="AH146" s="44"/>
      <c r="AI146" s="44"/>
      <c r="AJ146" s="44"/>
      <c r="AK146" s="44"/>
      <c r="AL146" s="44"/>
    </row>
    <row r="147" hidden="1">
      <c r="A147" s="92" t="b">
        <v>0</v>
      </c>
      <c r="B147" s="46">
        <v>45757.0</v>
      </c>
      <c r="C147" s="39" t="s">
        <v>219</v>
      </c>
      <c r="D147" s="37" t="s">
        <v>565</v>
      </c>
      <c r="E147" s="37" t="s">
        <v>566</v>
      </c>
      <c r="F147" s="37" t="s">
        <v>514</v>
      </c>
      <c r="G147" s="38">
        <v>1159460.0</v>
      </c>
      <c r="H147" s="39" t="s">
        <v>567</v>
      </c>
      <c r="I147" s="39">
        <v>5.0</v>
      </c>
      <c r="J147" s="38">
        <f t="shared" si="7"/>
        <v>57973</v>
      </c>
      <c r="K147" s="38">
        <f t="shared" si="2"/>
        <v>2898.65</v>
      </c>
      <c r="L147" s="39">
        <v>50.0</v>
      </c>
      <c r="M147" s="38">
        <f t="shared" si="13"/>
        <v>28986.5</v>
      </c>
      <c r="N147" s="38">
        <f t="shared" ref="N147:N148" si="63">J147*0.05</f>
        <v>2898.65</v>
      </c>
      <c r="O147" s="38"/>
      <c r="P147" s="38"/>
      <c r="Q147" s="40">
        <f t="shared" ref="Q147:Q148" si="64">J147-M147-N147</f>
        <v>26087.85</v>
      </c>
      <c r="R147" s="49">
        <v>45770.0</v>
      </c>
      <c r="S147" s="49">
        <v>45824.0</v>
      </c>
      <c r="T147" s="39" t="s">
        <v>568</v>
      </c>
      <c r="U147" s="47"/>
      <c r="V147" s="47"/>
      <c r="W147" s="47"/>
      <c r="X147" s="45"/>
      <c r="Y147" s="44"/>
      <c r="Z147" s="44"/>
      <c r="AA147" s="44"/>
      <c r="AB147" s="44"/>
      <c r="AC147" s="44"/>
      <c r="AD147" s="44"/>
      <c r="AE147" s="44"/>
      <c r="AF147" s="44"/>
      <c r="AG147" s="44"/>
      <c r="AH147" s="44"/>
      <c r="AI147" s="44"/>
      <c r="AJ147" s="44"/>
      <c r="AK147" s="44"/>
      <c r="AL147" s="44"/>
    </row>
    <row r="148" hidden="1">
      <c r="A148" s="92" t="b">
        <v>0</v>
      </c>
      <c r="B148" s="46">
        <v>45758.0</v>
      </c>
      <c r="C148" s="39" t="s">
        <v>219</v>
      </c>
      <c r="D148" s="37" t="s">
        <v>569</v>
      </c>
      <c r="E148" s="37" t="s">
        <v>570</v>
      </c>
      <c r="F148" s="37" t="s">
        <v>514</v>
      </c>
      <c r="G148" s="38">
        <v>2035000.0</v>
      </c>
      <c r="H148" s="39" t="s">
        <v>571</v>
      </c>
      <c r="I148" s="39">
        <v>4.0</v>
      </c>
      <c r="J148" s="38">
        <f t="shared" si="7"/>
        <v>81400</v>
      </c>
      <c r="K148" s="38">
        <f t="shared" si="2"/>
        <v>4070</v>
      </c>
      <c r="L148" s="39">
        <v>50.0</v>
      </c>
      <c r="M148" s="38">
        <f t="shared" si="13"/>
        <v>40700</v>
      </c>
      <c r="N148" s="38">
        <f t="shared" si="63"/>
        <v>4070</v>
      </c>
      <c r="O148" s="38"/>
      <c r="P148" s="38"/>
      <c r="Q148" s="40">
        <f t="shared" si="64"/>
        <v>36630</v>
      </c>
      <c r="R148" s="49">
        <v>45817.0</v>
      </c>
      <c r="S148" s="49">
        <v>45896.0</v>
      </c>
      <c r="T148" s="47"/>
      <c r="U148" s="47"/>
      <c r="V148" s="47"/>
      <c r="W148" s="47"/>
      <c r="X148" s="45"/>
      <c r="Y148" s="44"/>
      <c r="Z148" s="44"/>
      <c r="AA148" s="44"/>
      <c r="AB148" s="44"/>
      <c r="AC148" s="44"/>
      <c r="AD148" s="44"/>
      <c r="AE148" s="44"/>
      <c r="AF148" s="44"/>
      <c r="AG148" s="44"/>
      <c r="AH148" s="44"/>
      <c r="AI148" s="44"/>
      <c r="AJ148" s="44"/>
      <c r="AK148" s="44"/>
      <c r="AL148" s="44"/>
    </row>
    <row r="149" hidden="1">
      <c r="A149" s="92" t="b">
        <v>0</v>
      </c>
      <c r="B149" s="46">
        <v>45760.0</v>
      </c>
      <c r="C149" s="39" t="s">
        <v>150</v>
      </c>
      <c r="D149" s="37" t="s">
        <v>572</v>
      </c>
      <c r="E149" s="37" t="s">
        <v>200</v>
      </c>
      <c r="F149" s="38" t="s">
        <v>416</v>
      </c>
      <c r="G149" s="38">
        <v>950000.0</v>
      </c>
      <c r="H149" s="39" t="s">
        <v>573</v>
      </c>
      <c r="I149" s="39">
        <v>4.0</v>
      </c>
      <c r="J149" s="38">
        <f t="shared" si="7"/>
        <v>38000</v>
      </c>
      <c r="K149" s="38">
        <f t="shared" si="2"/>
        <v>1900</v>
      </c>
      <c r="L149" s="39">
        <v>80.0</v>
      </c>
      <c r="M149" s="38">
        <f t="shared" si="13"/>
        <v>30400</v>
      </c>
      <c r="N149" s="38">
        <f>J149*0.09</f>
        <v>3420</v>
      </c>
      <c r="O149" s="38"/>
      <c r="P149" s="38">
        <f>J149*0.0075</f>
        <v>285</v>
      </c>
      <c r="Q149" s="40">
        <f>J149-M149-N149-P149</f>
        <v>3895</v>
      </c>
      <c r="R149" s="49">
        <v>45789.0</v>
      </c>
      <c r="S149" s="49">
        <v>45832.0</v>
      </c>
      <c r="T149" s="47"/>
      <c r="U149" s="47"/>
      <c r="V149" s="47"/>
      <c r="W149" s="47"/>
      <c r="X149" s="45"/>
      <c r="Y149" s="44"/>
      <c r="Z149" s="44"/>
      <c r="AA149" s="44"/>
      <c r="AB149" s="44"/>
      <c r="AC149" s="44"/>
      <c r="AD149" s="44"/>
      <c r="AE149" s="44"/>
      <c r="AF149" s="44"/>
      <c r="AG149" s="44"/>
      <c r="AH149" s="44"/>
      <c r="AI149" s="44"/>
      <c r="AJ149" s="44"/>
      <c r="AK149" s="44"/>
      <c r="AL149" s="44"/>
    </row>
    <row r="150" hidden="1">
      <c r="A150" s="92" t="b">
        <v>0</v>
      </c>
      <c r="B150" s="46">
        <v>45760.0</v>
      </c>
      <c r="C150" s="39" t="s">
        <v>219</v>
      </c>
      <c r="D150" s="37" t="s">
        <v>574</v>
      </c>
      <c r="E150" s="37" t="s">
        <v>575</v>
      </c>
      <c r="F150" s="95" t="s">
        <v>514</v>
      </c>
      <c r="G150" s="38">
        <v>948897.0</v>
      </c>
      <c r="H150" s="39" t="s">
        <v>576</v>
      </c>
      <c r="I150" s="39">
        <v>6.0</v>
      </c>
      <c r="J150" s="38">
        <f t="shared" si="7"/>
        <v>56933.82</v>
      </c>
      <c r="K150" s="38">
        <f t="shared" si="2"/>
        <v>2846.691</v>
      </c>
      <c r="L150" s="39">
        <v>80.0</v>
      </c>
      <c r="M150" s="38">
        <f t="shared" si="13"/>
        <v>45547.056</v>
      </c>
      <c r="N150" s="38">
        <f>J150*0.05</f>
        <v>2846.691</v>
      </c>
      <c r="O150" s="38"/>
      <c r="P150" s="38"/>
      <c r="Q150" s="40">
        <f>J150-M150-N150</f>
        <v>8540.073</v>
      </c>
      <c r="R150" s="49">
        <v>45880.0</v>
      </c>
      <c r="S150" s="35">
        <v>45940.0</v>
      </c>
      <c r="T150" s="39" t="s">
        <v>577</v>
      </c>
      <c r="U150" s="47"/>
      <c r="V150" s="47"/>
      <c r="W150" s="47"/>
      <c r="X150" s="45"/>
      <c r="Y150" s="44"/>
      <c r="Z150" s="44"/>
      <c r="AA150" s="44"/>
      <c r="AB150" s="44"/>
      <c r="AC150" s="44"/>
      <c r="AD150" s="44"/>
      <c r="AE150" s="44"/>
      <c r="AF150" s="44"/>
      <c r="AG150" s="44"/>
      <c r="AH150" s="44"/>
      <c r="AI150" s="44"/>
      <c r="AJ150" s="44"/>
      <c r="AK150" s="44"/>
      <c r="AL150" s="44"/>
    </row>
    <row r="151" hidden="1">
      <c r="A151" s="92" t="b">
        <v>0</v>
      </c>
      <c r="B151" s="46">
        <v>45763.0</v>
      </c>
      <c r="C151" s="39" t="s">
        <v>150</v>
      </c>
      <c r="D151" s="37" t="s">
        <v>578</v>
      </c>
      <c r="E151" s="37" t="s">
        <v>579</v>
      </c>
      <c r="F151" s="37" t="s">
        <v>580</v>
      </c>
      <c r="G151" s="38">
        <v>2.391E7</v>
      </c>
      <c r="H151" s="39" t="s">
        <v>571</v>
      </c>
      <c r="I151" s="39">
        <v>4.0</v>
      </c>
      <c r="J151" s="38">
        <f t="shared" si="7"/>
        <v>956400</v>
      </c>
      <c r="K151" s="38">
        <f t="shared" si="2"/>
        <v>47820</v>
      </c>
      <c r="L151" s="39">
        <v>90.0</v>
      </c>
      <c r="M151" s="38">
        <f t="shared" si="13"/>
        <v>860760</v>
      </c>
      <c r="N151" s="38">
        <f>J151*0.01</f>
        <v>9564</v>
      </c>
      <c r="O151" s="38"/>
      <c r="P151" s="38">
        <f t="shared" ref="P151:P152" si="65">J151*0.0075</f>
        <v>7173</v>
      </c>
      <c r="Q151" s="40">
        <f t="shared" ref="Q151:Q152" si="66">J151-M151-N151-P151</f>
        <v>78903</v>
      </c>
      <c r="R151" s="49">
        <v>45797.0</v>
      </c>
      <c r="S151" s="49">
        <v>45848.0</v>
      </c>
      <c r="T151" s="39" t="s">
        <v>581</v>
      </c>
      <c r="U151" s="47"/>
      <c r="V151" s="47"/>
      <c r="W151" s="47"/>
      <c r="X151" s="45"/>
      <c r="Y151" s="44"/>
      <c r="Z151" s="44"/>
      <c r="AA151" s="44"/>
      <c r="AB151" s="44"/>
      <c r="AC151" s="44"/>
      <c r="AD151" s="44"/>
      <c r="AE151" s="44"/>
      <c r="AF151" s="44"/>
      <c r="AG151" s="44"/>
      <c r="AH151" s="44"/>
      <c r="AI151" s="44"/>
      <c r="AJ151" s="44"/>
      <c r="AK151" s="44"/>
      <c r="AL151" s="44"/>
    </row>
    <row r="152" hidden="1">
      <c r="A152" s="92" t="b">
        <v>0</v>
      </c>
      <c r="B152" s="46">
        <v>45769.0</v>
      </c>
      <c r="C152" s="39" t="s">
        <v>150</v>
      </c>
      <c r="D152" s="37" t="s">
        <v>582</v>
      </c>
      <c r="E152" s="37" t="s">
        <v>540</v>
      </c>
      <c r="F152" s="37" t="s">
        <v>44</v>
      </c>
      <c r="G152" s="38">
        <v>741725.0</v>
      </c>
      <c r="H152" s="39" t="s">
        <v>234</v>
      </c>
      <c r="I152" s="39">
        <v>6.0</v>
      </c>
      <c r="J152" s="38">
        <f t="shared" si="7"/>
        <v>44503.5</v>
      </c>
      <c r="K152" s="38">
        <f t="shared" si="2"/>
        <v>2225.175</v>
      </c>
      <c r="L152" s="39">
        <v>88.0</v>
      </c>
      <c r="M152" s="38">
        <f t="shared" si="13"/>
        <v>39163.08</v>
      </c>
      <c r="N152" s="38"/>
      <c r="O152" s="38"/>
      <c r="P152" s="38">
        <f t="shared" si="65"/>
        <v>333.77625</v>
      </c>
      <c r="Q152" s="40">
        <f t="shared" si="66"/>
        <v>5006.64375</v>
      </c>
      <c r="R152" s="49">
        <v>45770.0</v>
      </c>
      <c r="S152" s="49">
        <v>45804.0</v>
      </c>
      <c r="T152" s="47"/>
      <c r="U152" s="47"/>
      <c r="V152" s="47"/>
      <c r="W152" s="47"/>
      <c r="X152" s="45"/>
    </row>
    <row r="153" hidden="1">
      <c r="A153" s="92" t="b">
        <v>0</v>
      </c>
      <c r="B153" s="46">
        <v>45769.0</v>
      </c>
      <c r="C153" s="39" t="s">
        <v>219</v>
      </c>
      <c r="D153" s="37" t="s">
        <v>583</v>
      </c>
      <c r="E153" s="37" t="s">
        <v>566</v>
      </c>
      <c r="F153" s="37" t="s">
        <v>514</v>
      </c>
      <c r="G153" s="38">
        <v>2724279.36</v>
      </c>
      <c r="H153" s="39" t="s">
        <v>515</v>
      </c>
      <c r="I153" s="39">
        <v>5.0</v>
      </c>
      <c r="J153" s="38">
        <f t="shared" si="7"/>
        <v>136213.968</v>
      </c>
      <c r="K153" s="38">
        <f t="shared" si="2"/>
        <v>6810.6984</v>
      </c>
      <c r="L153" s="39">
        <v>80.0</v>
      </c>
      <c r="M153" s="38">
        <f t="shared" si="13"/>
        <v>108971.1744</v>
      </c>
      <c r="N153" s="38">
        <f>J153*0.05</f>
        <v>6810.6984</v>
      </c>
      <c r="O153" s="38"/>
      <c r="P153" s="38"/>
      <c r="Q153" s="40">
        <f>J153-M153-N153</f>
        <v>20432.0952</v>
      </c>
      <c r="R153" s="49">
        <v>45828.0</v>
      </c>
      <c r="S153" s="49">
        <v>45903.0</v>
      </c>
      <c r="T153" s="39" t="s">
        <v>584</v>
      </c>
      <c r="U153" s="47"/>
      <c r="V153" s="47"/>
      <c r="W153" s="47"/>
      <c r="X153" s="45"/>
      <c r="Y153" s="44"/>
      <c r="Z153" s="44"/>
      <c r="AA153" s="44"/>
      <c r="AB153" s="44"/>
      <c r="AC153" s="44"/>
      <c r="AD153" s="44"/>
      <c r="AE153" s="44"/>
      <c r="AF153" s="44"/>
      <c r="AG153" s="44"/>
      <c r="AH153" s="44"/>
      <c r="AI153" s="44"/>
      <c r="AJ153" s="44"/>
      <c r="AK153" s="44"/>
      <c r="AL153" s="44"/>
    </row>
    <row r="154" hidden="1">
      <c r="A154" s="92" t="b">
        <v>0</v>
      </c>
      <c r="B154" s="46">
        <v>45771.0</v>
      </c>
      <c r="C154" s="39" t="s">
        <v>150</v>
      </c>
      <c r="D154" s="37" t="s">
        <v>585</v>
      </c>
      <c r="E154" s="37" t="s">
        <v>586</v>
      </c>
      <c r="F154" s="37" t="s">
        <v>44</v>
      </c>
      <c r="G154" s="38">
        <v>4082888.0</v>
      </c>
      <c r="H154" s="39" t="s">
        <v>273</v>
      </c>
      <c r="I154" s="39">
        <v>4.0</v>
      </c>
      <c r="J154" s="38">
        <f t="shared" si="7"/>
        <v>163315.52</v>
      </c>
      <c r="K154" s="38">
        <f t="shared" si="2"/>
        <v>8165.776</v>
      </c>
      <c r="L154" s="39">
        <v>88.0</v>
      </c>
      <c r="M154" s="38">
        <f t="shared" si="13"/>
        <v>143717.6576</v>
      </c>
      <c r="N154" s="38"/>
      <c r="O154" s="38"/>
      <c r="P154" s="38">
        <f>J154*0.0075</f>
        <v>1224.8664</v>
      </c>
      <c r="Q154" s="40">
        <f>J154-M154-N154-P154</f>
        <v>18372.996</v>
      </c>
      <c r="R154" s="39"/>
      <c r="S154" s="49">
        <v>45881.0</v>
      </c>
      <c r="T154" s="39" t="s">
        <v>587</v>
      </c>
      <c r="U154" s="47"/>
      <c r="V154" s="47"/>
      <c r="W154" s="47"/>
      <c r="X154" s="45"/>
      <c r="Y154" s="44"/>
      <c r="Z154" s="44"/>
      <c r="AA154" s="44"/>
      <c r="AB154" s="44"/>
      <c r="AC154" s="44"/>
      <c r="AD154" s="44"/>
      <c r="AE154" s="44"/>
      <c r="AF154" s="44"/>
      <c r="AG154" s="44"/>
      <c r="AH154" s="44"/>
      <c r="AI154" s="44"/>
      <c r="AJ154" s="44"/>
      <c r="AK154" s="44"/>
      <c r="AL154" s="44"/>
    </row>
    <row r="155" hidden="1">
      <c r="A155" s="92" t="b">
        <v>0</v>
      </c>
      <c r="B155" s="46">
        <v>45771.0</v>
      </c>
      <c r="C155" s="39" t="s">
        <v>157</v>
      </c>
      <c r="D155" s="37" t="s">
        <v>588</v>
      </c>
      <c r="E155" s="37" t="s">
        <v>588</v>
      </c>
      <c r="F155" s="37" t="s">
        <v>529</v>
      </c>
      <c r="G155" s="38">
        <v>1500667.0</v>
      </c>
      <c r="H155" s="39" t="s">
        <v>198</v>
      </c>
      <c r="I155" s="39">
        <v>7.0</v>
      </c>
      <c r="J155" s="38">
        <f t="shared" si="7"/>
        <v>105046.69</v>
      </c>
      <c r="K155" s="38">
        <f t="shared" si="2"/>
        <v>5252.3345</v>
      </c>
      <c r="L155" s="39">
        <v>50.0</v>
      </c>
      <c r="M155" s="38">
        <f t="shared" si="13"/>
        <v>52523.345</v>
      </c>
      <c r="N155" s="38">
        <f>J155*0.31</f>
        <v>32564.4739</v>
      </c>
      <c r="O155" s="38"/>
      <c r="P155" s="38"/>
      <c r="Q155" s="40">
        <f t="shared" ref="Q155:Q156" si="67">J155-M155-N155</f>
        <v>19958.8711</v>
      </c>
      <c r="R155" s="49">
        <v>45777.0</v>
      </c>
      <c r="S155" s="49">
        <v>45912.0</v>
      </c>
      <c r="T155" s="47"/>
      <c r="U155" s="47"/>
      <c r="V155" s="47"/>
      <c r="W155" s="47"/>
      <c r="X155" s="45"/>
      <c r="Y155" s="44"/>
      <c r="Z155" s="44"/>
      <c r="AA155" s="44"/>
      <c r="AB155" s="44"/>
      <c r="AC155" s="44"/>
      <c r="AD155" s="44"/>
      <c r="AE155" s="44"/>
      <c r="AF155" s="44"/>
      <c r="AG155" s="44"/>
      <c r="AH155" s="44"/>
      <c r="AI155" s="44"/>
      <c r="AJ155" s="44"/>
      <c r="AK155" s="44"/>
      <c r="AL155" s="44"/>
    </row>
    <row r="156" hidden="1">
      <c r="A156" s="92" t="b">
        <v>0</v>
      </c>
      <c r="B156" s="46">
        <v>45771.0</v>
      </c>
      <c r="C156" s="39" t="s">
        <v>219</v>
      </c>
      <c r="D156" s="37" t="s">
        <v>589</v>
      </c>
      <c r="E156" s="37" t="s">
        <v>575</v>
      </c>
      <c r="F156" s="95" t="s">
        <v>514</v>
      </c>
      <c r="G156" s="38">
        <v>3658000.0</v>
      </c>
      <c r="H156" s="39" t="s">
        <v>590</v>
      </c>
      <c r="I156" s="39">
        <v>3.0</v>
      </c>
      <c r="J156" s="38">
        <f t="shared" si="7"/>
        <v>109740</v>
      </c>
      <c r="K156" s="38">
        <f t="shared" si="2"/>
        <v>5487</v>
      </c>
      <c r="L156" s="39">
        <v>80.0</v>
      </c>
      <c r="M156" s="38">
        <f t="shared" si="13"/>
        <v>87792</v>
      </c>
      <c r="N156" s="38">
        <f>J156*0.05</f>
        <v>5487</v>
      </c>
      <c r="O156" s="38"/>
      <c r="P156" s="38"/>
      <c r="Q156" s="40">
        <f t="shared" si="67"/>
        <v>16461</v>
      </c>
      <c r="R156" s="49">
        <v>45860.0</v>
      </c>
      <c r="S156" s="49">
        <v>45877.0</v>
      </c>
      <c r="T156" s="47"/>
      <c r="U156" s="47"/>
      <c r="V156" s="47"/>
      <c r="W156" s="47"/>
      <c r="X156" s="45"/>
      <c r="Y156" s="44"/>
      <c r="Z156" s="44"/>
      <c r="AA156" s="44"/>
      <c r="AB156" s="44"/>
      <c r="AC156" s="44"/>
      <c r="AD156" s="44"/>
      <c r="AE156" s="44"/>
      <c r="AF156" s="44"/>
      <c r="AG156" s="44"/>
      <c r="AH156" s="44"/>
      <c r="AI156" s="44"/>
      <c r="AJ156" s="44"/>
      <c r="AK156" s="44"/>
      <c r="AL156" s="44"/>
    </row>
    <row r="157" hidden="1">
      <c r="A157" s="92" t="b">
        <v>0</v>
      </c>
      <c r="B157" s="46">
        <v>45771.0</v>
      </c>
      <c r="C157" s="39" t="s">
        <v>150</v>
      </c>
      <c r="D157" s="37" t="s">
        <v>591</v>
      </c>
      <c r="E157" s="37" t="s">
        <v>592</v>
      </c>
      <c r="F157" s="95" t="s">
        <v>44</v>
      </c>
      <c r="G157" s="38">
        <v>1119334.0</v>
      </c>
      <c r="H157" s="39" t="s">
        <v>576</v>
      </c>
      <c r="I157" s="39">
        <v>2.5</v>
      </c>
      <c r="J157" s="38">
        <f t="shared" si="7"/>
        <v>27983.35</v>
      </c>
      <c r="K157" s="38">
        <f t="shared" si="2"/>
        <v>1399.1675</v>
      </c>
      <c r="L157" s="39">
        <v>88.0</v>
      </c>
      <c r="M157" s="38">
        <f t="shared" si="13"/>
        <v>24625.348</v>
      </c>
      <c r="N157" s="38">
        <f>J157*0.01</f>
        <v>279.8335</v>
      </c>
      <c r="O157" s="38"/>
      <c r="P157" s="38">
        <f>J157*0.0075</f>
        <v>209.875125</v>
      </c>
      <c r="Q157" s="40">
        <f>J157-M157-N157-P157</f>
        <v>2868.293375</v>
      </c>
      <c r="R157" s="49">
        <v>45887.0</v>
      </c>
      <c r="S157" s="49">
        <v>45940.0</v>
      </c>
      <c r="T157" s="39" t="s">
        <v>593</v>
      </c>
      <c r="U157" s="47"/>
      <c r="V157" s="47"/>
      <c r="W157" s="47"/>
      <c r="X157" s="45"/>
      <c r="Y157" s="44"/>
      <c r="Z157" s="44"/>
      <c r="AA157" s="44"/>
      <c r="AB157" s="44"/>
      <c r="AC157" s="44"/>
      <c r="AD157" s="44"/>
      <c r="AE157" s="44"/>
      <c r="AF157" s="44"/>
      <c r="AG157" s="44"/>
      <c r="AH157" s="44"/>
      <c r="AI157" s="44"/>
      <c r="AJ157" s="44"/>
      <c r="AK157" s="44"/>
      <c r="AL157" s="44"/>
    </row>
    <row r="158" hidden="1">
      <c r="A158" s="92" t="b">
        <v>0</v>
      </c>
      <c r="B158" s="46">
        <v>45774.0</v>
      </c>
      <c r="C158" s="39" t="s">
        <v>219</v>
      </c>
      <c r="D158" s="37" t="s">
        <v>583</v>
      </c>
      <c r="E158" s="37" t="s">
        <v>566</v>
      </c>
      <c r="F158" s="37" t="s">
        <v>514</v>
      </c>
      <c r="G158" s="38">
        <v>4011888.0</v>
      </c>
      <c r="H158" s="39" t="s">
        <v>594</v>
      </c>
      <c r="I158" s="39">
        <v>4.0</v>
      </c>
      <c r="J158" s="38">
        <f t="shared" si="7"/>
        <v>160475.52</v>
      </c>
      <c r="K158" s="38">
        <f t="shared" si="2"/>
        <v>8023.776</v>
      </c>
      <c r="L158" s="39">
        <v>65.0</v>
      </c>
      <c r="M158" s="38">
        <f t="shared" si="13"/>
        <v>104309.088</v>
      </c>
      <c r="N158" s="38">
        <f t="shared" ref="N158:N159" si="68">J158*0.05</f>
        <v>8023.776</v>
      </c>
      <c r="O158" s="38"/>
      <c r="P158" s="38"/>
      <c r="Q158" s="40">
        <f t="shared" ref="Q158:Q278" si="69">J158-M158-N158</f>
        <v>48142.656</v>
      </c>
      <c r="R158" s="49">
        <v>45812.0</v>
      </c>
      <c r="S158" s="49">
        <v>45856.0</v>
      </c>
      <c r="T158" s="39" t="s">
        <v>595</v>
      </c>
      <c r="U158" s="47"/>
      <c r="V158" s="47"/>
      <c r="W158" s="47"/>
      <c r="X158" s="45"/>
      <c r="Y158" s="44"/>
      <c r="Z158" s="44"/>
      <c r="AA158" s="44"/>
      <c r="AB158" s="44"/>
      <c r="AC158" s="44"/>
      <c r="AD158" s="44"/>
      <c r="AE158" s="44"/>
      <c r="AF158" s="44"/>
      <c r="AG158" s="44"/>
      <c r="AH158" s="44"/>
      <c r="AI158" s="44"/>
      <c r="AJ158" s="44"/>
      <c r="AK158" s="44"/>
      <c r="AL158" s="44"/>
    </row>
    <row r="159" hidden="1">
      <c r="A159" s="92" t="b">
        <v>0</v>
      </c>
      <c r="B159" s="46">
        <v>45779.0</v>
      </c>
      <c r="C159" s="39" t="s">
        <v>219</v>
      </c>
      <c r="D159" s="37" t="s">
        <v>596</v>
      </c>
      <c r="E159" s="37" t="s">
        <v>221</v>
      </c>
      <c r="F159" s="37" t="s">
        <v>514</v>
      </c>
      <c r="G159" s="38">
        <v>892669.0</v>
      </c>
      <c r="H159" s="39" t="s">
        <v>576</v>
      </c>
      <c r="I159" s="39">
        <v>6.0</v>
      </c>
      <c r="J159" s="38">
        <f t="shared" si="7"/>
        <v>53560.14</v>
      </c>
      <c r="K159" s="38">
        <f t="shared" si="2"/>
        <v>2678.007</v>
      </c>
      <c r="L159" s="39">
        <v>80.0</v>
      </c>
      <c r="M159" s="38">
        <f t="shared" si="13"/>
        <v>42848.112</v>
      </c>
      <c r="N159" s="38">
        <f t="shared" si="68"/>
        <v>2678.007</v>
      </c>
      <c r="O159" s="38"/>
      <c r="P159" s="38"/>
      <c r="Q159" s="40">
        <f t="shared" si="69"/>
        <v>8034.021</v>
      </c>
      <c r="R159" s="49">
        <v>45798.0</v>
      </c>
      <c r="S159" s="35">
        <v>45954.0</v>
      </c>
      <c r="T159" s="39" t="s">
        <v>577</v>
      </c>
      <c r="U159" s="39" t="s">
        <v>597</v>
      </c>
      <c r="V159" s="47"/>
      <c r="W159" s="47"/>
      <c r="X159" s="45"/>
      <c r="Y159" s="44"/>
      <c r="Z159" s="44"/>
      <c r="AA159" s="44"/>
      <c r="AB159" s="44"/>
      <c r="AC159" s="44"/>
      <c r="AD159" s="44"/>
      <c r="AE159" s="44"/>
      <c r="AF159" s="44"/>
      <c r="AG159" s="44"/>
      <c r="AH159" s="44"/>
      <c r="AI159" s="44"/>
      <c r="AJ159" s="44"/>
      <c r="AK159" s="44"/>
      <c r="AL159" s="44"/>
    </row>
    <row r="160" hidden="1">
      <c r="A160" s="92" t="b">
        <v>0</v>
      </c>
      <c r="B160" s="46">
        <v>45779.0</v>
      </c>
      <c r="C160" s="39" t="s">
        <v>150</v>
      </c>
      <c r="D160" s="37" t="s">
        <v>598</v>
      </c>
      <c r="E160" s="37" t="s">
        <v>579</v>
      </c>
      <c r="F160" s="37" t="s">
        <v>580</v>
      </c>
      <c r="G160" s="38">
        <v>2959728.0</v>
      </c>
      <c r="H160" s="39" t="s">
        <v>599</v>
      </c>
      <c r="I160" s="39">
        <v>8.0</v>
      </c>
      <c r="J160" s="38">
        <v>225503.0</v>
      </c>
      <c r="K160" s="38">
        <f t="shared" si="2"/>
        <v>11275.15</v>
      </c>
      <c r="L160" s="39">
        <v>88.0</v>
      </c>
      <c r="M160" s="38">
        <f t="shared" si="13"/>
        <v>198442.64</v>
      </c>
      <c r="N160" s="38">
        <f t="shared" ref="N160:N161" si="70">J160*0.01</f>
        <v>2255.03</v>
      </c>
      <c r="O160" s="38"/>
      <c r="P160" s="38"/>
      <c r="Q160" s="40">
        <f t="shared" si="69"/>
        <v>24805.33</v>
      </c>
      <c r="R160" s="49">
        <v>45811.0</v>
      </c>
      <c r="S160" s="49">
        <v>45839.0</v>
      </c>
      <c r="T160" s="47"/>
      <c r="U160" s="47"/>
      <c r="V160" s="47"/>
      <c r="W160" s="47"/>
      <c r="X160" s="45"/>
      <c r="Y160" s="44"/>
      <c r="Z160" s="44"/>
      <c r="AA160" s="44"/>
      <c r="AB160" s="44"/>
      <c r="AC160" s="44"/>
      <c r="AD160" s="44"/>
      <c r="AE160" s="44"/>
      <c r="AF160" s="44"/>
      <c r="AG160" s="44"/>
      <c r="AH160" s="44"/>
      <c r="AI160" s="44"/>
      <c r="AJ160" s="44"/>
      <c r="AK160" s="44"/>
      <c r="AL160" s="44"/>
    </row>
    <row r="161" hidden="1">
      <c r="A161" s="92" t="b">
        <v>0</v>
      </c>
      <c r="B161" s="46">
        <v>45780.0</v>
      </c>
      <c r="C161" s="39" t="s">
        <v>150</v>
      </c>
      <c r="D161" s="37" t="s">
        <v>600</v>
      </c>
      <c r="E161" s="37" t="s">
        <v>426</v>
      </c>
      <c r="F161" s="37" t="s">
        <v>481</v>
      </c>
      <c r="G161" s="38">
        <v>1169315.84</v>
      </c>
      <c r="H161" s="39" t="s">
        <v>506</v>
      </c>
      <c r="I161" s="39">
        <v>6.0</v>
      </c>
      <c r="J161" s="38">
        <f t="shared" ref="J161:J199" si="71">(G161*I161)/100</f>
        <v>70158.9504</v>
      </c>
      <c r="K161" s="38">
        <f t="shared" si="2"/>
        <v>3507.94752</v>
      </c>
      <c r="L161" s="39">
        <v>88.0</v>
      </c>
      <c r="M161" s="38">
        <f t="shared" si="13"/>
        <v>61739.87635</v>
      </c>
      <c r="N161" s="38">
        <f t="shared" si="70"/>
        <v>701.589504</v>
      </c>
      <c r="O161" s="38"/>
      <c r="P161" s="38">
        <f>J161*0.0025</f>
        <v>175.397376</v>
      </c>
      <c r="Q161" s="40">
        <f t="shared" si="69"/>
        <v>7717.484544</v>
      </c>
      <c r="R161" s="49">
        <v>45875.0</v>
      </c>
      <c r="S161" s="49">
        <v>45887.0</v>
      </c>
      <c r="T161" s="47"/>
      <c r="U161" s="47"/>
      <c r="V161" s="47"/>
      <c r="W161" s="47"/>
      <c r="X161" s="45"/>
      <c r="Y161" s="44"/>
      <c r="Z161" s="44"/>
      <c r="AA161" s="44"/>
      <c r="AB161" s="44"/>
      <c r="AC161" s="44"/>
      <c r="AD161" s="44"/>
      <c r="AE161" s="44"/>
      <c r="AF161" s="44"/>
      <c r="AG161" s="44"/>
      <c r="AH161" s="44"/>
      <c r="AI161" s="44"/>
      <c r="AJ161" s="44"/>
      <c r="AK161" s="44"/>
      <c r="AL161" s="44"/>
    </row>
    <row r="162" hidden="1">
      <c r="A162" s="92" t="b">
        <v>0</v>
      </c>
      <c r="B162" s="46">
        <v>45791.0</v>
      </c>
      <c r="C162" s="39" t="s">
        <v>219</v>
      </c>
      <c r="D162" s="37" t="s">
        <v>601</v>
      </c>
      <c r="E162" s="37" t="s">
        <v>184</v>
      </c>
      <c r="F162" s="37"/>
      <c r="G162" s="38">
        <v>6479003.0</v>
      </c>
      <c r="H162" s="39" t="s">
        <v>185</v>
      </c>
      <c r="I162" s="39">
        <v>4.0</v>
      </c>
      <c r="J162" s="38">
        <f t="shared" si="71"/>
        <v>259160.12</v>
      </c>
      <c r="K162" s="38">
        <f t="shared" si="2"/>
        <v>12958.006</v>
      </c>
      <c r="L162" s="39">
        <v>88.0</v>
      </c>
      <c r="M162" s="38">
        <f t="shared" si="13"/>
        <v>228060.9056</v>
      </c>
      <c r="N162" s="38"/>
      <c r="O162" s="38"/>
      <c r="P162" s="38"/>
      <c r="Q162" s="40">
        <f t="shared" si="69"/>
        <v>31099.2144</v>
      </c>
      <c r="R162" s="39"/>
      <c r="S162" s="49">
        <v>45850.0</v>
      </c>
      <c r="T162" s="47"/>
      <c r="U162" s="47"/>
      <c r="V162" s="47"/>
      <c r="W162" s="47"/>
      <c r="X162" s="45"/>
      <c r="Y162" s="44"/>
      <c r="Z162" s="44"/>
      <c r="AA162" s="44"/>
      <c r="AB162" s="44"/>
      <c r="AC162" s="44"/>
      <c r="AD162" s="44"/>
      <c r="AE162" s="44"/>
      <c r="AF162" s="44"/>
      <c r="AG162" s="44"/>
      <c r="AH162" s="44"/>
      <c r="AI162" s="44"/>
      <c r="AJ162" s="44"/>
      <c r="AK162" s="44"/>
      <c r="AL162" s="44"/>
    </row>
    <row r="163" hidden="1">
      <c r="A163" s="92" t="b">
        <v>0</v>
      </c>
      <c r="B163" s="46">
        <v>45792.0</v>
      </c>
      <c r="C163" s="39" t="s">
        <v>219</v>
      </c>
      <c r="D163" s="37" t="s">
        <v>602</v>
      </c>
      <c r="E163" s="37" t="s">
        <v>513</v>
      </c>
      <c r="F163" s="37" t="s">
        <v>514</v>
      </c>
      <c r="G163" s="38">
        <v>2818828.0</v>
      </c>
      <c r="H163" s="39" t="s">
        <v>191</v>
      </c>
      <c r="I163" s="39">
        <v>5.0</v>
      </c>
      <c r="J163" s="38">
        <f t="shared" si="71"/>
        <v>140941.4</v>
      </c>
      <c r="K163" s="38">
        <f t="shared" si="2"/>
        <v>7047.07</v>
      </c>
      <c r="L163" s="39">
        <v>80.0</v>
      </c>
      <c r="M163" s="38">
        <f t="shared" si="13"/>
        <v>112753.12</v>
      </c>
      <c r="N163" s="38">
        <f>J163*0.05</f>
        <v>7047.07</v>
      </c>
      <c r="O163" s="38"/>
      <c r="P163" s="38"/>
      <c r="Q163" s="40">
        <f t="shared" si="69"/>
        <v>21141.21</v>
      </c>
      <c r="R163" s="39" t="s">
        <v>603</v>
      </c>
      <c r="S163" s="49">
        <v>45939.0</v>
      </c>
      <c r="T163" s="47"/>
      <c r="U163" s="47"/>
      <c r="V163" s="47"/>
      <c r="W163" s="47"/>
      <c r="X163" s="45"/>
      <c r="Y163" s="44"/>
      <c r="Z163" s="44"/>
      <c r="AA163" s="44"/>
      <c r="AB163" s="44"/>
      <c r="AC163" s="44"/>
      <c r="AD163" s="44"/>
      <c r="AE163" s="44"/>
      <c r="AF163" s="44"/>
      <c r="AG163" s="44"/>
      <c r="AH163" s="44"/>
      <c r="AI163" s="44"/>
      <c r="AJ163" s="44"/>
      <c r="AK163" s="44"/>
      <c r="AL163" s="44"/>
    </row>
    <row r="164" ht="15.0" hidden="1" customHeight="1">
      <c r="A164" s="92" t="b">
        <v>0</v>
      </c>
      <c r="B164" s="46">
        <v>45796.0</v>
      </c>
      <c r="C164" s="39" t="s">
        <v>157</v>
      </c>
      <c r="D164" s="37" t="s">
        <v>604</v>
      </c>
      <c r="E164" s="37" t="s">
        <v>605</v>
      </c>
      <c r="F164" s="37" t="s">
        <v>157</v>
      </c>
      <c r="G164" s="38">
        <v>1222486.0</v>
      </c>
      <c r="H164" s="39" t="s">
        <v>506</v>
      </c>
      <c r="I164" s="39">
        <v>6.0</v>
      </c>
      <c r="J164" s="38">
        <f t="shared" si="71"/>
        <v>73349.16</v>
      </c>
      <c r="K164" s="38">
        <f t="shared" si="2"/>
        <v>3667.458</v>
      </c>
      <c r="L164" s="39">
        <v>88.0</v>
      </c>
      <c r="M164" s="38">
        <f t="shared" si="13"/>
        <v>64547.2608</v>
      </c>
      <c r="N164" s="38"/>
      <c r="O164" s="38"/>
      <c r="P164" s="38"/>
      <c r="Q164" s="40">
        <f t="shared" si="69"/>
        <v>8801.8992</v>
      </c>
      <c r="R164" s="49">
        <v>45870.0</v>
      </c>
      <c r="S164" s="49">
        <v>45884.0</v>
      </c>
      <c r="T164" s="47"/>
      <c r="U164" s="47"/>
      <c r="V164" s="47"/>
      <c r="W164" s="47"/>
      <c r="X164" s="45"/>
      <c r="Y164" s="44"/>
      <c r="Z164" s="44"/>
      <c r="AA164" s="44"/>
      <c r="AB164" s="44"/>
      <c r="AC164" s="44"/>
      <c r="AD164" s="44"/>
      <c r="AE164" s="44"/>
      <c r="AF164" s="44"/>
      <c r="AG164" s="44"/>
      <c r="AH164" s="44"/>
      <c r="AI164" s="44"/>
      <c r="AJ164" s="44"/>
      <c r="AK164" s="44"/>
      <c r="AL164" s="44"/>
    </row>
    <row r="165">
      <c r="A165" s="92" t="b">
        <v>1</v>
      </c>
      <c r="B165" s="96">
        <v>45800.0</v>
      </c>
      <c r="C165" s="50" t="s">
        <v>150</v>
      </c>
      <c r="D165" s="97" t="s">
        <v>606</v>
      </c>
      <c r="E165" s="97" t="s">
        <v>249</v>
      </c>
      <c r="F165" s="97" t="s">
        <v>44</v>
      </c>
      <c r="G165" s="98">
        <v>1583680.0</v>
      </c>
      <c r="H165" s="50" t="s">
        <v>230</v>
      </c>
      <c r="I165" s="50">
        <v>5.0</v>
      </c>
      <c r="J165" s="98">
        <f t="shared" si="71"/>
        <v>79184</v>
      </c>
      <c r="K165" s="98">
        <f t="shared" si="2"/>
        <v>3959.2</v>
      </c>
      <c r="L165" s="50">
        <v>88.0</v>
      </c>
      <c r="M165" s="98">
        <f t="shared" si="13"/>
        <v>69681.92</v>
      </c>
      <c r="N165" s="98"/>
      <c r="O165" s="98"/>
      <c r="P165" s="98"/>
      <c r="Q165" s="99">
        <f t="shared" si="69"/>
        <v>9502.08</v>
      </c>
      <c r="R165" s="50"/>
      <c r="S165" s="50"/>
      <c r="T165" s="50" t="s">
        <v>607</v>
      </c>
      <c r="U165" s="51"/>
      <c r="V165" s="51"/>
      <c r="W165" s="51"/>
      <c r="X165" s="55"/>
      <c r="Y165" s="53"/>
      <c r="Z165" s="53"/>
      <c r="AA165" s="53"/>
      <c r="AB165" s="53"/>
      <c r="AC165" s="53"/>
      <c r="AD165" s="53"/>
      <c r="AE165" s="53"/>
      <c r="AF165" s="53"/>
      <c r="AG165" s="53"/>
      <c r="AH165" s="53"/>
      <c r="AI165" s="53"/>
      <c r="AJ165" s="53"/>
      <c r="AK165" s="53"/>
      <c r="AL165" s="53"/>
    </row>
    <row r="166" hidden="1">
      <c r="A166" s="92" t="b">
        <v>0</v>
      </c>
      <c r="B166" s="46">
        <v>45807.0</v>
      </c>
      <c r="C166" s="39" t="s">
        <v>219</v>
      </c>
      <c r="D166" s="37" t="s">
        <v>608</v>
      </c>
      <c r="E166" s="37" t="s">
        <v>575</v>
      </c>
      <c r="F166" s="37" t="s">
        <v>514</v>
      </c>
      <c r="G166" s="38">
        <v>1069215.0</v>
      </c>
      <c r="H166" s="39" t="s">
        <v>609</v>
      </c>
      <c r="I166" s="39">
        <v>6.0</v>
      </c>
      <c r="J166" s="38">
        <f t="shared" si="71"/>
        <v>64152.9</v>
      </c>
      <c r="K166" s="38">
        <f t="shared" si="2"/>
        <v>3207.645</v>
      </c>
      <c r="L166" s="39">
        <v>80.0</v>
      </c>
      <c r="M166" s="38">
        <f t="shared" si="13"/>
        <v>51322.32</v>
      </c>
      <c r="N166" s="38">
        <f t="shared" ref="N166:N167" si="72">J166*0.05</f>
        <v>3207.645</v>
      </c>
      <c r="O166" s="38"/>
      <c r="P166" s="38"/>
      <c r="Q166" s="40">
        <f t="shared" si="69"/>
        <v>9622.935</v>
      </c>
      <c r="R166" s="49">
        <v>45811.0</v>
      </c>
      <c r="S166" s="49">
        <v>45842.0</v>
      </c>
      <c r="T166" s="47"/>
      <c r="U166" s="47"/>
      <c r="V166" s="47"/>
      <c r="W166" s="47"/>
      <c r="X166" s="45"/>
      <c r="Y166" s="44"/>
      <c r="Z166" s="44"/>
      <c r="AA166" s="44"/>
      <c r="AB166" s="44"/>
      <c r="AC166" s="44"/>
      <c r="AD166" s="44"/>
      <c r="AE166" s="44"/>
      <c r="AF166" s="44"/>
      <c r="AG166" s="44"/>
      <c r="AH166" s="44"/>
      <c r="AI166" s="44"/>
      <c r="AJ166" s="44"/>
      <c r="AK166" s="44"/>
      <c r="AL166" s="44"/>
    </row>
    <row r="167" hidden="1">
      <c r="A167" s="92" t="b">
        <v>0</v>
      </c>
      <c r="B167" s="46">
        <v>45807.0</v>
      </c>
      <c r="C167" s="39" t="s">
        <v>219</v>
      </c>
      <c r="D167" s="37" t="s">
        <v>608</v>
      </c>
      <c r="E167" s="37" t="s">
        <v>575</v>
      </c>
      <c r="F167" s="37" t="s">
        <v>514</v>
      </c>
      <c r="G167" s="38">
        <v>1119946.0</v>
      </c>
      <c r="H167" s="39" t="s">
        <v>609</v>
      </c>
      <c r="I167" s="39">
        <v>6.0</v>
      </c>
      <c r="J167" s="38">
        <f t="shared" si="71"/>
        <v>67196.76</v>
      </c>
      <c r="K167" s="38">
        <f t="shared" si="2"/>
        <v>3359.838</v>
      </c>
      <c r="L167" s="39">
        <v>80.0</v>
      </c>
      <c r="M167" s="38">
        <f t="shared" si="13"/>
        <v>53757.408</v>
      </c>
      <c r="N167" s="38">
        <f t="shared" si="72"/>
        <v>3359.838</v>
      </c>
      <c r="O167" s="38"/>
      <c r="P167" s="38"/>
      <c r="Q167" s="40">
        <f t="shared" si="69"/>
        <v>10079.514</v>
      </c>
      <c r="R167" s="49">
        <v>45811.0</v>
      </c>
      <c r="S167" s="49">
        <v>45842.0</v>
      </c>
      <c r="T167" s="47"/>
      <c r="U167" s="47"/>
      <c r="V167" s="47"/>
      <c r="W167" s="47"/>
      <c r="X167" s="45"/>
      <c r="Y167" s="44"/>
      <c r="Z167" s="44"/>
      <c r="AA167" s="44"/>
      <c r="AB167" s="44"/>
      <c r="AC167" s="44"/>
      <c r="AD167" s="44"/>
      <c r="AE167" s="44"/>
      <c r="AF167" s="44"/>
      <c r="AG167" s="44"/>
      <c r="AH167" s="44"/>
      <c r="AI167" s="44"/>
      <c r="AJ167" s="44"/>
      <c r="AK167" s="44"/>
      <c r="AL167" s="44"/>
    </row>
    <row r="168" hidden="1">
      <c r="A168" s="92" t="b">
        <v>0</v>
      </c>
      <c r="B168" s="46">
        <v>45811.0</v>
      </c>
      <c r="C168" s="39" t="s">
        <v>150</v>
      </c>
      <c r="D168" s="37" t="s">
        <v>610</v>
      </c>
      <c r="E168" s="37" t="s">
        <v>434</v>
      </c>
      <c r="F168" s="37" t="s">
        <v>611</v>
      </c>
      <c r="G168" s="38">
        <v>1200000.0</v>
      </c>
      <c r="H168" s="39" t="s">
        <v>223</v>
      </c>
      <c r="I168" s="39">
        <v>7.0</v>
      </c>
      <c r="J168" s="38">
        <f t="shared" si="71"/>
        <v>84000</v>
      </c>
      <c r="K168" s="38">
        <f t="shared" si="2"/>
        <v>4200</v>
      </c>
      <c r="L168" s="39">
        <v>88.0</v>
      </c>
      <c r="M168" s="38">
        <f t="shared" si="13"/>
        <v>73920</v>
      </c>
      <c r="N168" s="38">
        <f t="shared" ref="N168:N169" si="73">J168*0.01</f>
        <v>840</v>
      </c>
      <c r="O168" s="38"/>
      <c r="P168" s="38"/>
      <c r="Q168" s="40">
        <f t="shared" si="69"/>
        <v>9240</v>
      </c>
      <c r="R168" s="49">
        <v>45854.0</v>
      </c>
      <c r="S168" s="49">
        <v>45877.0</v>
      </c>
      <c r="T168" s="47"/>
      <c r="U168" s="47"/>
      <c r="V168" s="47"/>
      <c r="W168" s="47"/>
      <c r="X168" s="45"/>
      <c r="Y168" s="44"/>
      <c r="Z168" s="44"/>
      <c r="AA168" s="44"/>
      <c r="AB168" s="44"/>
      <c r="AC168" s="44"/>
      <c r="AD168" s="44"/>
      <c r="AE168" s="44"/>
      <c r="AF168" s="44"/>
      <c r="AG168" s="44"/>
      <c r="AH168" s="44"/>
      <c r="AI168" s="44"/>
      <c r="AJ168" s="44"/>
      <c r="AK168" s="44"/>
      <c r="AL168" s="44"/>
    </row>
    <row r="169" hidden="1">
      <c r="A169" s="92" t="b">
        <v>0</v>
      </c>
      <c r="B169" s="46">
        <v>45813.0</v>
      </c>
      <c r="C169" s="39" t="s">
        <v>150</v>
      </c>
      <c r="D169" s="37" t="s">
        <v>612</v>
      </c>
      <c r="E169" s="37" t="s">
        <v>613</v>
      </c>
      <c r="F169" s="37" t="s">
        <v>614</v>
      </c>
      <c r="G169" s="38">
        <v>985777.0</v>
      </c>
      <c r="H169" s="39" t="s">
        <v>405</v>
      </c>
      <c r="I169" s="39">
        <v>6.0</v>
      </c>
      <c r="J169" s="38">
        <f t="shared" si="71"/>
        <v>59146.62</v>
      </c>
      <c r="K169" s="38">
        <f t="shared" si="2"/>
        <v>2957.331</v>
      </c>
      <c r="L169" s="39">
        <v>88.0</v>
      </c>
      <c r="M169" s="38">
        <f t="shared" si="13"/>
        <v>52049.0256</v>
      </c>
      <c r="N169" s="38">
        <f t="shared" si="73"/>
        <v>591.4662</v>
      </c>
      <c r="O169" s="38"/>
      <c r="P169" s="38"/>
      <c r="Q169" s="40">
        <f t="shared" si="69"/>
        <v>6506.1282</v>
      </c>
      <c r="R169" s="49">
        <v>45819.0</v>
      </c>
      <c r="S169" s="49">
        <v>45832.0</v>
      </c>
      <c r="T169" s="47"/>
      <c r="U169" s="47"/>
      <c r="V169" s="47"/>
      <c r="W169" s="47"/>
      <c r="X169" s="45"/>
      <c r="Y169" s="44"/>
      <c r="Z169" s="44"/>
      <c r="AA169" s="44"/>
      <c r="AB169" s="44"/>
      <c r="AC169" s="44"/>
      <c r="AD169" s="44"/>
      <c r="AE169" s="44"/>
      <c r="AF169" s="44"/>
      <c r="AG169" s="44"/>
      <c r="AH169" s="44"/>
      <c r="AI169" s="44"/>
      <c r="AJ169" s="44"/>
      <c r="AK169" s="44"/>
      <c r="AL169" s="44"/>
    </row>
    <row r="170" hidden="1">
      <c r="A170" s="92" t="b">
        <v>0</v>
      </c>
      <c r="B170" s="46">
        <v>45819.0</v>
      </c>
      <c r="C170" s="39" t="s">
        <v>219</v>
      </c>
      <c r="D170" s="37" t="s">
        <v>615</v>
      </c>
      <c r="E170" s="37" t="s">
        <v>513</v>
      </c>
      <c r="F170" s="37" t="s">
        <v>514</v>
      </c>
      <c r="G170" s="38">
        <v>1659828.0</v>
      </c>
      <c r="H170" s="39" t="s">
        <v>191</v>
      </c>
      <c r="I170" s="39">
        <v>5.0</v>
      </c>
      <c r="J170" s="38">
        <f t="shared" si="71"/>
        <v>82991.4</v>
      </c>
      <c r="K170" s="38">
        <f t="shared" si="2"/>
        <v>4149.57</v>
      </c>
      <c r="L170" s="39">
        <v>65.0</v>
      </c>
      <c r="M170" s="38">
        <f t="shared" si="13"/>
        <v>53944.41</v>
      </c>
      <c r="N170" s="38">
        <f t="shared" ref="N170:N172" si="74">J170*0.05</f>
        <v>4149.57</v>
      </c>
      <c r="O170" s="38"/>
      <c r="P170" s="38"/>
      <c r="Q170" s="40">
        <f t="shared" si="69"/>
        <v>24897.42</v>
      </c>
      <c r="R170" s="49">
        <v>45848.0</v>
      </c>
      <c r="S170" s="49">
        <v>45870.0</v>
      </c>
      <c r="T170" s="47"/>
      <c r="U170" s="47"/>
      <c r="V170" s="47"/>
      <c r="W170" s="47"/>
      <c r="X170" s="45"/>
      <c r="Y170" s="44"/>
      <c r="Z170" s="44"/>
      <c r="AA170" s="44"/>
      <c r="AB170" s="44"/>
      <c r="AC170" s="44"/>
      <c r="AD170" s="44"/>
      <c r="AE170" s="44"/>
      <c r="AF170" s="44"/>
      <c r="AG170" s="44"/>
      <c r="AH170" s="44"/>
      <c r="AI170" s="44"/>
      <c r="AJ170" s="44"/>
      <c r="AK170" s="44"/>
      <c r="AL170" s="44"/>
    </row>
    <row r="171" hidden="1">
      <c r="A171" s="92" t="s">
        <v>127</v>
      </c>
      <c r="B171" s="46" t="s">
        <v>616</v>
      </c>
      <c r="C171" s="39" t="s">
        <v>219</v>
      </c>
      <c r="D171" s="37" t="s">
        <v>617</v>
      </c>
      <c r="E171" s="37" t="s">
        <v>513</v>
      </c>
      <c r="F171" s="37" t="s">
        <v>514</v>
      </c>
      <c r="G171" s="38">
        <v>4187450.87</v>
      </c>
      <c r="H171" s="39" t="s">
        <v>618</v>
      </c>
      <c r="I171" s="39">
        <v>5.0</v>
      </c>
      <c r="J171" s="38">
        <f t="shared" si="71"/>
        <v>209372.5435</v>
      </c>
      <c r="K171" s="38">
        <f t="shared" si="2"/>
        <v>10468.62718</v>
      </c>
      <c r="L171" s="39">
        <v>50.0</v>
      </c>
      <c r="M171" s="38">
        <f t="shared" si="13"/>
        <v>104686.2718</v>
      </c>
      <c r="N171" s="38">
        <f t="shared" si="74"/>
        <v>10468.62718</v>
      </c>
      <c r="O171" s="38"/>
      <c r="P171" s="38"/>
      <c r="Q171" s="40">
        <f t="shared" si="69"/>
        <v>94217.64458</v>
      </c>
      <c r="R171" s="49">
        <v>45819.0</v>
      </c>
      <c r="S171" s="49">
        <v>45828.0</v>
      </c>
      <c r="T171" s="47"/>
      <c r="U171" s="47"/>
      <c r="V171" s="47"/>
      <c r="W171" s="47"/>
      <c r="X171" s="45"/>
      <c r="Y171" s="43"/>
      <c r="Z171" s="43"/>
      <c r="AA171" s="43"/>
      <c r="AB171" s="43"/>
      <c r="AC171" s="43"/>
      <c r="AD171" s="43"/>
      <c r="AE171" s="43"/>
      <c r="AF171" s="43"/>
      <c r="AG171" s="43"/>
      <c r="AH171" s="43"/>
      <c r="AI171" s="43"/>
      <c r="AJ171" s="43"/>
      <c r="AK171" s="43"/>
      <c r="AL171" s="43"/>
    </row>
    <row r="172">
      <c r="A172" s="92" t="s">
        <v>619</v>
      </c>
      <c r="B172" s="100" t="s">
        <v>620</v>
      </c>
      <c r="C172" s="101" t="s">
        <v>219</v>
      </c>
      <c r="D172" s="102" t="s">
        <v>621</v>
      </c>
      <c r="E172" s="102" t="s">
        <v>570</v>
      </c>
      <c r="F172" s="102" t="s">
        <v>514</v>
      </c>
      <c r="G172" s="103">
        <v>3230896.0</v>
      </c>
      <c r="H172" s="101" t="s">
        <v>576</v>
      </c>
      <c r="I172" s="101">
        <v>7.0</v>
      </c>
      <c r="J172" s="103">
        <f t="shared" si="71"/>
        <v>226162.72</v>
      </c>
      <c r="K172" s="103">
        <f t="shared" si="2"/>
        <v>11308.136</v>
      </c>
      <c r="L172" s="101">
        <v>80.0</v>
      </c>
      <c r="M172" s="103">
        <f t="shared" si="13"/>
        <v>180930.176</v>
      </c>
      <c r="N172" s="103">
        <f t="shared" si="74"/>
        <v>11308.136</v>
      </c>
      <c r="O172" s="103"/>
      <c r="P172" s="103"/>
      <c r="Q172" s="104">
        <f t="shared" si="69"/>
        <v>33924.408</v>
      </c>
      <c r="R172" s="101"/>
      <c r="S172" s="101"/>
      <c r="T172" s="105"/>
      <c r="U172" s="105"/>
      <c r="V172" s="105"/>
      <c r="W172" s="105"/>
      <c r="X172" s="5"/>
      <c r="Y172" s="106"/>
      <c r="Z172" s="106"/>
      <c r="AA172" s="106"/>
      <c r="AB172" s="106"/>
      <c r="AC172" s="106"/>
      <c r="AD172" s="106"/>
      <c r="AE172" s="106"/>
      <c r="AF172" s="106"/>
      <c r="AG172" s="106"/>
      <c r="AH172" s="106"/>
      <c r="AI172" s="106"/>
      <c r="AJ172" s="106"/>
      <c r="AK172" s="106"/>
      <c r="AL172" s="106"/>
    </row>
    <row r="173" hidden="1">
      <c r="A173" s="92" t="b">
        <v>0</v>
      </c>
      <c r="B173" s="46">
        <v>45824.0</v>
      </c>
      <c r="C173" s="39" t="s">
        <v>150</v>
      </c>
      <c r="D173" s="37" t="s">
        <v>622</v>
      </c>
      <c r="E173" s="37" t="s">
        <v>623</v>
      </c>
      <c r="F173" s="37" t="s">
        <v>624</v>
      </c>
      <c r="G173" s="38">
        <v>1197018.0</v>
      </c>
      <c r="H173" s="39" t="s">
        <v>506</v>
      </c>
      <c r="I173" s="39">
        <v>6.0</v>
      </c>
      <c r="J173" s="38">
        <f t="shared" si="71"/>
        <v>71821.08</v>
      </c>
      <c r="K173" s="38">
        <f t="shared" si="2"/>
        <v>3591.054</v>
      </c>
      <c r="L173" s="39">
        <v>88.0</v>
      </c>
      <c r="M173" s="38">
        <f t="shared" si="13"/>
        <v>63202.5504</v>
      </c>
      <c r="N173" s="38">
        <f t="shared" ref="N173:N174" si="75">J173*0.01</f>
        <v>718.2108</v>
      </c>
      <c r="O173" s="38"/>
      <c r="P173" s="38"/>
      <c r="Q173" s="40">
        <f t="shared" si="69"/>
        <v>7900.3188</v>
      </c>
      <c r="R173" s="49">
        <v>45901.0</v>
      </c>
      <c r="S173" s="49">
        <v>45913.0</v>
      </c>
      <c r="T173" s="47"/>
      <c r="U173" s="47"/>
      <c r="V173" s="47"/>
      <c r="W173" s="47"/>
      <c r="X173" s="45"/>
      <c r="Y173" s="43"/>
      <c r="Z173" s="43"/>
      <c r="AA173" s="43"/>
      <c r="AB173" s="43"/>
      <c r="AC173" s="43"/>
      <c r="AD173" s="43"/>
      <c r="AE173" s="43"/>
      <c r="AF173" s="43"/>
      <c r="AG173" s="43"/>
      <c r="AH173" s="43"/>
      <c r="AI173" s="43"/>
      <c r="AJ173" s="43"/>
      <c r="AK173" s="43"/>
      <c r="AL173" s="43"/>
    </row>
    <row r="174" hidden="1">
      <c r="A174" s="92" t="b">
        <v>0</v>
      </c>
      <c r="B174" s="46">
        <v>45825.0</v>
      </c>
      <c r="C174" s="39" t="s">
        <v>150</v>
      </c>
      <c r="D174" s="37" t="s">
        <v>622</v>
      </c>
      <c r="E174" s="37" t="s">
        <v>623</v>
      </c>
      <c r="F174" s="37" t="s">
        <v>624</v>
      </c>
      <c r="G174" s="38">
        <v>1167685.09</v>
      </c>
      <c r="H174" s="39" t="s">
        <v>625</v>
      </c>
      <c r="I174" s="39">
        <v>5.0</v>
      </c>
      <c r="J174" s="38">
        <f t="shared" si="71"/>
        <v>58384.2545</v>
      </c>
      <c r="K174" s="38">
        <f t="shared" si="2"/>
        <v>2919.212725</v>
      </c>
      <c r="L174" s="39">
        <v>88.0</v>
      </c>
      <c r="M174" s="38">
        <f t="shared" si="13"/>
        <v>51378.14396</v>
      </c>
      <c r="N174" s="38">
        <f t="shared" si="75"/>
        <v>583.842545</v>
      </c>
      <c r="O174" s="38"/>
      <c r="P174" s="38"/>
      <c r="Q174" s="40">
        <f t="shared" si="69"/>
        <v>6422.267995</v>
      </c>
      <c r="R174" s="49">
        <v>45867.0</v>
      </c>
      <c r="S174" s="49">
        <v>45881.0</v>
      </c>
      <c r="T174" s="47"/>
      <c r="U174" s="47"/>
      <c r="V174" s="47"/>
      <c r="W174" s="47"/>
      <c r="X174" s="45"/>
      <c r="Y174" s="43"/>
      <c r="Z174" s="43"/>
      <c r="AA174" s="43"/>
      <c r="AB174" s="43"/>
      <c r="AC174" s="43"/>
      <c r="AD174" s="43"/>
      <c r="AE174" s="43"/>
      <c r="AF174" s="43"/>
      <c r="AG174" s="43"/>
      <c r="AH174" s="43"/>
      <c r="AI174" s="43"/>
      <c r="AJ174" s="43"/>
      <c r="AK174" s="43"/>
      <c r="AL174" s="43"/>
    </row>
    <row r="175" hidden="1">
      <c r="A175" s="92" t="b">
        <v>0</v>
      </c>
      <c r="B175" s="46">
        <v>45826.0</v>
      </c>
      <c r="C175" s="39" t="s">
        <v>157</v>
      </c>
      <c r="D175" s="37" t="s">
        <v>410</v>
      </c>
      <c r="E175" s="37" t="s">
        <v>605</v>
      </c>
      <c r="F175" s="37" t="s">
        <v>157</v>
      </c>
      <c r="G175" s="38">
        <v>6349940.0</v>
      </c>
      <c r="H175" s="39" t="s">
        <v>506</v>
      </c>
      <c r="I175" s="39">
        <v>6.0</v>
      </c>
      <c r="J175" s="38">
        <f t="shared" si="71"/>
        <v>380996.4</v>
      </c>
      <c r="K175" s="38">
        <f t="shared" si="2"/>
        <v>19049.82</v>
      </c>
      <c r="L175" s="39">
        <v>90.0</v>
      </c>
      <c r="M175" s="38">
        <f t="shared" si="13"/>
        <v>342896.76</v>
      </c>
      <c r="N175" s="38"/>
      <c r="O175" s="38"/>
      <c r="P175" s="38"/>
      <c r="Q175" s="40">
        <f t="shared" si="69"/>
        <v>38099.64</v>
      </c>
      <c r="R175" s="49">
        <v>45852.0</v>
      </c>
      <c r="S175" s="49">
        <v>45862.0</v>
      </c>
      <c r="T175" s="47"/>
      <c r="U175" s="47"/>
      <c r="V175" s="47"/>
      <c r="W175" s="47"/>
      <c r="X175" s="45"/>
      <c r="Y175" s="43"/>
      <c r="Z175" s="43"/>
      <c r="AA175" s="43"/>
      <c r="AB175" s="43"/>
      <c r="AC175" s="43"/>
      <c r="AD175" s="43"/>
      <c r="AE175" s="43"/>
      <c r="AF175" s="43"/>
      <c r="AG175" s="43"/>
      <c r="AH175" s="43"/>
      <c r="AI175" s="43"/>
      <c r="AJ175" s="43"/>
      <c r="AK175" s="43"/>
      <c r="AL175" s="43"/>
    </row>
    <row r="176" hidden="1">
      <c r="A176" s="92" t="b">
        <v>0</v>
      </c>
      <c r="B176" s="46">
        <v>45826.0</v>
      </c>
      <c r="C176" s="39" t="s">
        <v>157</v>
      </c>
      <c r="D176" s="37" t="s">
        <v>410</v>
      </c>
      <c r="E176" s="37" t="s">
        <v>605</v>
      </c>
      <c r="F176" s="37" t="s">
        <v>157</v>
      </c>
      <c r="G176" s="38">
        <v>6521560.0</v>
      </c>
      <c r="H176" s="39" t="s">
        <v>506</v>
      </c>
      <c r="I176" s="39">
        <v>6.0</v>
      </c>
      <c r="J176" s="38">
        <f t="shared" si="71"/>
        <v>391293.6</v>
      </c>
      <c r="K176" s="38">
        <f t="shared" si="2"/>
        <v>19564.68</v>
      </c>
      <c r="L176" s="39">
        <v>90.0</v>
      </c>
      <c r="M176" s="38">
        <f t="shared" si="13"/>
        <v>352164.24</v>
      </c>
      <c r="N176" s="38"/>
      <c r="O176" s="38"/>
      <c r="P176" s="38"/>
      <c r="Q176" s="40">
        <f t="shared" si="69"/>
        <v>39129.36</v>
      </c>
      <c r="R176" s="49">
        <v>45852.0</v>
      </c>
      <c r="S176" s="49">
        <v>45862.0</v>
      </c>
      <c r="T176" s="39" t="s">
        <v>626</v>
      </c>
      <c r="U176" s="47"/>
      <c r="V176" s="47"/>
      <c r="W176" s="47"/>
      <c r="X176" s="45"/>
      <c r="Y176" s="43"/>
      <c r="Z176" s="43"/>
      <c r="AA176" s="43"/>
      <c r="AB176" s="43"/>
      <c r="AC176" s="43"/>
      <c r="AD176" s="43"/>
      <c r="AE176" s="43"/>
      <c r="AF176" s="43"/>
      <c r="AG176" s="43"/>
      <c r="AH176" s="43"/>
      <c r="AI176" s="43"/>
      <c r="AJ176" s="43"/>
      <c r="AK176" s="43"/>
      <c r="AL176" s="43"/>
    </row>
    <row r="177" hidden="1">
      <c r="A177" s="92" t="b">
        <v>0</v>
      </c>
      <c r="B177" s="46">
        <v>45826.0</v>
      </c>
      <c r="C177" s="39" t="s">
        <v>150</v>
      </c>
      <c r="D177" s="37" t="s">
        <v>627</v>
      </c>
      <c r="E177" s="37" t="s">
        <v>628</v>
      </c>
      <c r="F177" s="37" t="s">
        <v>629</v>
      </c>
      <c r="G177" s="38">
        <v>7095707.0</v>
      </c>
      <c r="H177" s="39" t="s">
        <v>630</v>
      </c>
      <c r="I177" s="39">
        <v>4.0</v>
      </c>
      <c r="J177" s="38">
        <f t="shared" si="71"/>
        <v>283828.28</v>
      </c>
      <c r="K177" s="38">
        <f t="shared" si="2"/>
        <v>14191.414</v>
      </c>
      <c r="L177" s="39">
        <v>90.0</v>
      </c>
      <c r="M177" s="38">
        <f t="shared" si="13"/>
        <v>255445.452</v>
      </c>
      <c r="N177" s="38">
        <f t="shared" ref="N177:N178" si="76">J177*0.01</f>
        <v>2838.2828</v>
      </c>
      <c r="O177" s="38"/>
      <c r="P177" s="38"/>
      <c r="Q177" s="40">
        <f t="shared" si="69"/>
        <v>25544.5452</v>
      </c>
      <c r="R177" s="49">
        <v>45874.0</v>
      </c>
      <c r="S177" s="49">
        <v>45887.0</v>
      </c>
      <c r="T177" s="47"/>
      <c r="U177" s="47"/>
      <c r="V177" s="47"/>
      <c r="W177" s="47"/>
      <c r="X177" s="45"/>
      <c r="Y177" s="43"/>
      <c r="Z177" s="43"/>
      <c r="AA177" s="43"/>
      <c r="AB177" s="43"/>
      <c r="AC177" s="43"/>
      <c r="AD177" s="43"/>
      <c r="AE177" s="43"/>
      <c r="AF177" s="43"/>
      <c r="AG177" s="43"/>
      <c r="AH177" s="43"/>
      <c r="AI177" s="43"/>
      <c r="AJ177" s="43"/>
      <c r="AK177" s="43"/>
      <c r="AL177" s="43"/>
    </row>
    <row r="178" hidden="1">
      <c r="A178" s="92" t="b">
        <v>0</v>
      </c>
      <c r="B178" s="46">
        <v>45826.0</v>
      </c>
      <c r="C178" s="39" t="s">
        <v>150</v>
      </c>
      <c r="D178" s="37" t="s">
        <v>631</v>
      </c>
      <c r="E178" s="37" t="s">
        <v>628</v>
      </c>
      <c r="F178" s="37" t="s">
        <v>629</v>
      </c>
      <c r="G178" s="38">
        <v>7296774.0</v>
      </c>
      <c r="H178" s="39" t="s">
        <v>630</v>
      </c>
      <c r="I178" s="39">
        <v>4.0</v>
      </c>
      <c r="J178" s="38">
        <f t="shared" si="71"/>
        <v>291870.96</v>
      </c>
      <c r="K178" s="38">
        <f t="shared" si="2"/>
        <v>14593.548</v>
      </c>
      <c r="L178" s="39">
        <v>90.0</v>
      </c>
      <c r="M178" s="38">
        <f t="shared" si="13"/>
        <v>262683.864</v>
      </c>
      <c r="N178" s="38">
        <f t="shared" si="76"/>
        <v>2918.7096</v>
      </c>
      <c r="O178" s="38"/>
      <c r="P178" s="38"/>
      <c r="Q178" s="40">
        <f t="shared" si="69"/>
        <v>26268.3864</v>
      </c>
      <c r="R178" s="49">
        <v>45874.0</v>
      </c>
      <c r="S178" s="49">
        <v>45887.0</v>
      </c>
      <c r="T178" s="47"/>
      <c r="U178" s="47"/>
      <c r="V178" s="47"/>
      <c r="W178" s="47"/>
      <c r="X178" s="45"/>
      <c r="Y178" s="43"/>
      <c r="Z178" s="43"/>
      <c r="AA178" s="43"/>
      <c r="AB178" s="43"/>
      <c r="AC178" s="43"/>
      <c r="AD178" s="43"/>
      <c r="AE178" s="43"/>
      <c r="AF178" s="43"/>
      <c r="AG178" s="43"/>
      <c r="AH178" s="43"/>
      <c r="AI178" s="43"/>
      <c r="AJ178" s="43"/>
      <c r="AK178" s="43"/>
      <c r="AL178" s="43"/>
    </row>
    <row r="179" hidden="1">
      <c r="A179" s="92" t="b">
        <v>0</v>
      </c>
      <c r="B179" s="46">
        <v>45826.0</v>
      </c>
      <c r="C179" s="39" t="s">
        <v>150</v>
      </c>
      <c r="D179" s="37" t="s">
        <v>632</v>
      </c>
      <c r="E179" s="37" t="s">
        <v>633</v>
      </c>
      <c r="F179" s="37" t="s">
        <v>44</v>
      </c>
      <c r="G179" s="38">
        <v>3808063.0</v>
      </c>
      <c r="H179" s="39" t="s">
        <v>630</v>
      </c>
      <c r="I179" s="39">
        <v>4.0</v>
      </c>
      <c r="J179" s="38">
        <f t="shared" si="71"/>
        <v>152322.52</v>
      </c>
      <c r="K179" s="38">
        <f t="shared" si="2"/>
        <v>7616.126</v>
      </c>
      <c r="L179" s="39">
        <v>90.0</v>
      </c>
      <c r="M179" s="38">
        <f t="shared" si="13"/>
        <v>137090.268</v>
      </c>
      <c r="N179" s="38"/>
      <c r="O179" s="38"/>
      <c r="P179" s="38"/>
      <c r="Q179" s="40">
        <f t="shared" si="69"/>
        <v>15232.252</v>
      </c>
      <c r="R179" s="49">
        <v>45874.0</v>
      </c>
      <c r="S179" s="49">
        <v>45887.0</v>
      </c>
      <c r="T179" s="47"/>
      <c r="U179" s="47"/>
      <c r="V179" s="47"/>
      <c r="W179" s="47"/>
      <c r="X179" s="45"/>
      <c r="Y179" s="43"/>
      <c r="Z179" s="43"/>
      <c r="AA179" s="43"/>
      <c r="AB179" s="43"/>
      <c r="AC179" s="43"/>
      <c r="AD179" s="43"/>
      <c r="AE179" s="43"/>
      <c r="AF179" s="43"/>
      <c r="AG179" s="43"/>
      <c r="AH179" s="43"/>
      <c r="AI179" s="43"/>
      <c r="AJ179" s="43"/>
      <c r="AK179" s="43"/>
      <c r="AL179" s="43"/>
    </row>
    <row r="180" hidden="1">
      <c r="A180" s="92" t="b">
        <v>0</v>
      </c>
      <c r="B180" s="46">
        <v>45827.0</v>
      </c>
      <c r="C180" s="39" t="s">
        <v>150</v>
      </c>
      <c r="D180" s="37" t="s">
        <v>634</v>
      </c>
      <c r="E180" s="37" t="s">
        <v>635</v>
      </c>
      <c r="F180" s="37" t="s">
        <v>45</v>
      </c>
      <c r="G180" s="38">
        <v>2736888.0</v>
      </c>
      <c r="H180" s="39" t="s">
        <v>594</v>
      </c>
      <c r="I180" s="39">
        <v>4.0</v>
      </c>
      <c r="J180" s="38">
        <f t="shared" si="71"/>
        <v>109475.52</v>
      </c>
      <c r="K180" s="38">
        <f t="shared" si="2"/>
        <v>5473.776</v>
      </c>
      <c r="L180" s="39">
        <v>90.0</v>
      </c>
      <c r="M180" s="38">
        <f t="shared" si="13"/>
        <v>98527.968</v>
      </c>
      <c r="N180" s="38">
        <f>J180*0.01</f>
        <v>1094.7552</v>
      </c>
      <c r="O180" s="38"/>
      <c r="P180" s="38"/>
      <c r="Q180" s="40">
        <f t="shared" si="69"/>
        <v>9852.7968</v>
      </c>
      <c r="R180" s="39"/>
      <c r="S180" s="49">
        <v>45881.0</v>
      </c>
      <c r="T180" s="47"/>
      <c r="U180" s="47"/>
      <c r="V180" s="47"/>
      <c r="W180" s="47"/>
      <c r="X180" s="45"/>
      <c r="Y180" s="43"/>
      <c r="Z180" s="43"/>
      <c r="AA180" s="43"/>
      <c r="AB180" s="43"/>
      <c r="AC180" s="43"/>
      <c r="AD180" s="43"/>
      <c r="AE180" s="43"/>
      <c r="AF180" s="43"/>
      <c r="AG180" s="43"/>
      <c r="AH180" s="43"/>
      <c r="AI180" s="43"/>
      <c r="AJ180" s="43"/>
      <c r="AK180" s="43"/>
      <c r="AL180" s="43"/>
    </row>
    <row r="181" hidden="1">
      <c r="A181" s="92" t="b">
        <v>0</v>
      </c>
      <c r="B181" s="46">
        <v>45833.0</v>
      </c>
      <c r="C181" s="39" t="s">
        <v>219</v>
      </c>
      <c r="D181" s="37" t="s">
        <v>636</v>
      </c>
      <c r="E181" s="37" t="s">
        <v>637</v>
      </c>
      <c r="F181" s="37"/>
      <c r="G181" s="38">
        <v>2093828.0</v>
      </c>
      <c r="H181" s="39" t="s">
        <v>638</v>
      </c>
      <c r="I181" s="39">
        <v>5.0</v>
      </c>
      <c r="J181" s="38">
        <f t="shared" si="71"/>
        <v>104691.4</v>
      </c>
      <c r="K181" s="38">
        <f t="shared" si="2"/>
        <v>5234.57</v>
      </c>
      <c r="L181" s="39">
        <v>70.0</v>
      </c>
      <c r="M181" s="38">
        <f t="shared" si="13"/>
        <v>73283.98</v>
      </c>
      <c r="N181" s="38"/>
      <c r="O181" s="38"/>
      <c r="P181" s="38"/>
      <c r="Q181" s="40">
        <f t="shared" si="69"/>
        <v>31407.42</v>
      </c>
      <c r="R181" s="49">
        <v>45891.0</v>
      </c>
      <c r="S181" s="35">
        <v>45986.0</v>
      </c>
      <c r="T181" s="39" t="s">
        <v>639</v>
      </c>
      <c r="U181" s="47"/>
      <c r="V181" s="47"/>
      <c r="W181" s="47"/>
      <c r="X181" s="45"/>
      <c r="Y181" s="43"/>
      <c r="Z181" s="43"/>
      <c r="AA181" s="43"/>
      <c r="AB181" s="43"/>
      <c r="AC181" s="43"/>
      <c r="AD181" s="43"/>
      <c r="AE181" s="43"/>
      <c r="AF181" s="43"/>
      <c r="AG181" s="43"/>
      <c r="AH181" s="43"/>
      <c r="AI181" s="43"/>
      <c r="AJ181" s="43"/>
      <c r="AK181" s="43"/>
      <c r="AL181" s="43"/>
    </row>
    <row r="182" hidden="1">
      <c r="A182" s="92" t="b">
        <v>0</v>
      </c>
      <c r="B182" s="46">
        <v>45834.0</v>
      </c>
      <c r="C182" s="39" t="s">
        <v>150</v>
      </c>
      <c r="D182" s="37" t="s">
        <v>640</v>
      </c>
      <c r="E182" s="37" t="s">
        <v>203</v>
      </c>
      <c r="F182" s="37" t="s">
        <v>44</v>
      </c>
      <c r="G182" s="38">
        <v>3100364.39</v>
      </c>
      <c r="H182" s="39" t="s">
        <v>641</v>
      </c>
      <c r="I182" s="39">
        <v>3.0</v>
      </c>
      <c r="J182" s="38">
        <f t="shared" si="71"/>
        <v>93010.9317</v>
      </c>
      <c r="K182" s="38">
        <f t="shared" si="2"/>
        <v>4650.546585</v>
      </c>
      <c r="L182" s="39">
        <v>88.0</v>
      </c>
      <c r="M182" s="38">
        <f t="shared" si="13"/>
        <v>81849.6199</v>
      </c>
      <c r="N182" s="38"/>
      <c r="O182" s="38"/>
      <c r="P182" s="38"/>
      <c r="Q182" s="40">
        <f t="shared" si="69"/>
        <v>11161.3118</v>
      </c>
      <c r="R182" s="39"/>
      <c r="S182" s="49">
        <v>45931.0</v>
      </c>
      <c r="T182" s="47"/>
      <c r="U182" s="47"/>
      <c r="V182" s="47"/>
      <c r="W182" s="47"/>
      <c r="X182" s="45"/>
      <c r="Y182" s="43"/>
      <c r="Z182" s="43"/>
      <c r="AA182" s="43"/>
      <c r="AB182" s="43"/>
      <c r="AC182" s="43"/>
      <c r="AD182" s="43"/>
      <c r="AE182" s="43"/>
      <c r="AF182" s="43"/>
      <c r="AG182" s="43"/>
      <c r="AH182" s="43"/>
      <c r="AI182" s="43"/>
      <c r="AJ182" s="43"/>
      <c r="AK182" s="43"/>
      <c r="AL182" s="43"/>
    </row>
    <row r="183" hidden="1">
      <c r="A183" s="92" t="b">
        <v>0</v>
      </c>
      <c r="B183" s="46">
        <v>45846.0</v>
      </c>
      <c r="C183" s="39" t="s">
        <v>150</v>
      </c>
      <c r="D183" s="37" t="s">
        <v>642</v>
      </c>
      <c r="E183" s="37" t="s">
        <v>643</v>
      </c>
      <c r="F183" s="37" t="s">
        <v>295</v>
      </c>
      <c r="G183" s="38">
        <v>850000.0</v>
      </c>
      <c r="H183" s="39" t="s">
        <v>223</v>
      </c>
      <c r="I183" s="39">
        <v>6.0</v>
      </c>
      <c r="J183" s="38">
        <f t="shared" si="71"/>
        <v>51000</v>
      </c>
      <c r="K183" s="38">
        <f t="shared" si="2"/>
        <v>2550</v>
      </c>
      <c r="L183" s="39">
        <v>70.0</v>
      </c>
      <c r="M183" s="38">
        <f t="shared" si="13"/>
        <v>35700</v>
      </c>
      <c r="N183" s="38">
        <f>J183*0.06</f>
        <v>3060</v>
      </c>
      <c r="O183" s="38"/>
      <c r="P183" s="38"/>
      <c r="Q183" s="40">
        <f t="shared" si="69"/>
        <v>12240</v>
      </c>
      <c r="R183" s="49">
        <v>45884.0</v>
      </c>
      <c r="S183" s="49">
        <v>45891.0</v>
      </c>
      <c r="T183" s="47"/>
      <c r="U183" s="47"/>
      <c r="V183" s="47"/>
      <c r="W183" s="47"/>
      <c r="X183" s="45"/>
      <c r="Y183" s="43"/>
      <c r="Z183" s="43"/>
      <c r="AA183" s="43"/>
      <c r="AB183" s="43"/>
      <c r="AC183" s="43"/>
      <c r="AD183" s="43"/>
      <c r="AE183" s="43"/>
      <c r="AF183" s="43"/>
      <c r="AG183" s="43"/>
      <c r="AH183" s="43"/>
      <c r="AI183" s="43"/>
      <c r="AJ183" s="43"/>
      <c r="AK183" s="43"/>
      <c r="AL183" s="43"/>
    </row>
    <row r="184" hidden="1">
      <c r="A184" s="92" t="b">
        <v>0</v>
      </c>
      <c r="B184" s="46">
        <v>45852.0</v>
      </c>
      <c r="C184" s="39" t="s">
        <v>150</v>
      </c>
      <c r="D184" s="37" t="s">
        <v>644</v>
      </c>
      <c r="E184" s="37" t="s">
        <v>200</v>
      </c>
      <c r="F184" s="38" t="s">
        <v>416</v>
      </c>
      <c r="G184" s="38">
        <v>1200000.0</v>
      </c>
      <c r="H184" s="39" t="s">
        <v>645</v>
      </c>
      <c r="I184" s="39">
        <v>5.0</v>
      </c>
      <c r="J184" s="38">
        <f t="shared" si="71"/>
        <v>60000</v>
      </c>
      <c r="K184" s="38">
        <f t="shared" si="2"/>
        <v>3000</v>
      </c>
      <c r="L184" s="39">
        <v>80.0</v>
      </c>
      <c r="M184" s="38">
        <f t="shared" si="13"/>
        <v>48000</v>
      </c>
      <c r="N184" s="38">
        <f>J184*0.08</f>
        <v>4800</v>
      </c>
      <c r="O184" s="38"/>
      <c r="P184" s="38"/>
      <c r="Q184" s="40">
        <f t="shared" si="69"/>
        <v>7200</v>
      </c>
      <c r="R184" s="35">
        <v>45955.0</v>
      </c>
      <c r="S184" s="35">
        <v>45972.0</v>
      </c>
      <c r="T184" s="47"/>
      <c r="U184" s="47"/>
      <c r="V184" s="47"/>
      <c r="W184" s="47"/>
      <c r="X184" s="45"/>
      <c r="Y184" s="43"/>
      <c r="Z184" s="43"/>
      <c r="AA184" s="43"/>
      <c r="AB184" s="43"/>
      <c r="AC184" s="43"/>
      <c r="AD184" s="43"/>
      <c r="AE184" s="43"/>
      <c r="AF184" s="43"/>
      <c r="AG184" s="43"/>
      <c r="AH184" s="43"/>
      <c r="AI184" s="43"/>
      <c r="AJ184" s="43"/>
      <c r="AK184" s="43"/>
      <c r="AL184" s="43"/>
    </row>
    <row r="185" hidden="1">
      <c r="A185" s="92" t="b">
        <v>1</v>
      </c>
      <c r="B185" s="46">
        <v>45859.0</v>
      </c>
      <c r="C185" s="39" t="s">
        <v>150</v>
      </c>
      <c r="D185" s="37" t="s">
        <v>646</v>
      </c>
      <c r="E185" s="37" t="s">
        <v>623</v>
      </c>
      <c r="F185" s="37" t="s">
        <v>647</v>
      </c>
      <c r="G185" s="38">
        <v>2907888.0</v>
      </c>
      <c r="H185" s="39" t="s">
        <v>594</v>
      </c>
      <c r="I185" s="39">
        <v>4.0</v>
      </c>
      <c r="J185" s="38">
        <f t="shared" si="71"/>
        <v>116315.52</v>
      </c>
      <c r="K185" s="38">
        <f t="shared" si="2"/>
        <v>5815.776</v>
      </c>
      <c r="L185" s="39">
        <v>88.0</v>
      </c>
      <c r="M185" s="38">
        <f t="shared" si="13"/>
        <v>102357.6576</v>
      </c>
      <c r="N185" s="38">
        <f>J185*0.01</f>
        <v>1163.1552</v>
      </c>
      <c r="O185" s="38"/>
      <c r="P185" s="38"/>
      <c r="Q185" s="40">
        <f t="shared" si="69"/>
        <v>12794.7072</v>
      </c>
      <c r="R185" s="49">
        <v>46098.0</v>
      </c>
      <c r="S185" s="49">
        <v>46106.0</v>
      </c>
      <c r="T185" s="47"/>
      <c r="U185" s="47"/>
      <c r="V185" s="47"/>
      <c r="W185" s="47"/>
      <c r="X185" s="45"/>
      <c r="Y185" s="43"/>
      <c r="Z185" s="43"/>
      <c r="AA185" s="43"/>
      <c r="AB185" s="43"/>
      <c r="AC185" s="43"/>
      <c r="AD185" s="43"/>
      <c r="AE185" s="43"/>
      <c r="AF185" s="43"/>
      <c r="AG185" s="43"/>
      <c r="AH185" s="43"/>
      <c r="AI185" s="43"/>
      <c r="AJ185" s="43"/>
      <c r="AK185" s="43"/>
      <c r="AL185" s="43"/>
    </row>
    <row r="186" hidden="1">
      <c r="A186" s="92" t="b">
        <v>0</v>
      </c>
      <c r="B186" s="46">
        <v>45870.0</v>
      </c>
      <c r="C186" s="39" t="s">
        <v>219</v>
      </c>
      <c r="D186" s="37" t="s">
        <v>648</v>
      </c>
      <c r="E186" s="37" t="s">
        <v>649</v>
      </c>
      <c r="F186" s="37" t="s">
        <v>514</v>
      </c>
      <c r="G186" s="38">
        <v>746479.0</v>
      </c>
      <c r="H186" s="39" t="s">
        <v>515</v>
      </c>
      <c r="I186" s="39">
        <v>5.0</v>
      </c>
      <c r="J186" s="38">
        <f t="shared" si="71"/>
        <v>37323.95</v>
      </c>
      <c r="K186" s="38">
        <f t="shared" si="2"/>
        <v>1866.1975</v>
      </c>
      <c r="L186" s="39">
        <v>53.0</v>
      </c>
      <c r="M186" s="38">
        <f t="shared" si="13"/>
        <v>19781.6935</v>
      </c>
      <c r="N186" s="38">
        <f t="shared" ref="N186:N187" si="77">J186*0.05</f>
        <v>1866.1975</v>
      </c>
      <c r="O186" s="38"/>
      <c r="P186" s="38"/>
      <c r="Q186" s="40">
        <f t="shared" si="69"/>
        <v>15676.059</v>
      </c>
      <c r="R186" s="49">
        <v>45929.0</v>
      </c>
      <c r="S186" s="35">
        <v>46009.0</v>
      </c>
      <c r="T186" s="39" t="s">
        <v>650</v>
      </c>
      <c r="U186" s="47"/>
      <c r="V186" s="47"/>
      <c r="W186" s="47"/>
      <c r="X186" s="45"/>
      <c r="Y186" s="43"/>
      <c r="Z186" s="43"/>
      <c r="AA186" s="43"/>
      <c r="AB186" s="43"/>
      <c r="AC186" s="43"/>
      <c r="AD186" s="43"/>
      <c r="AE186" s="43"/>
      <c r="AF186" s="43"/>
      <c r="AG186" s="43"/>
      <c r="AH186" s="43"/>
      <c r="AI186" s="43"/>
      <c r="AJ186" s="43"/>
      <c r="AK186" s="43"/>
      <c r="AL186" s="43"/>
    </row>
    <row r="187" hidden="1">
      <c r="A187" s="92" t="b">
        <v>0</v>
      </c>
      <c r="B187" s="46">
        <v>45883.0</v>
      </c>
      <c r="C187" s="39" t="s">
        <v>219</v>
      </c>
      <c r="D187" s="37" t="s">
        <v>651</v>
      </c>
      <c r="E187" s="37" t="s">
        <v>652</v>
      </c>
      <c r="F187" s="37" t="s">
        <v>514</v>
      </c>
      <c r="G187" s="38">
        <v>798518.9</v>
      </c>
      <c r="H187" s="39" t="s">
        <v>279</v>
      </c>
      <c r="I187" s="39">
        <v>6.0</v>
      </c>
      <c r="J187" s="38">
        <f t="shared" si="71"/>
        <v>47911.134</v>
      </c>
      <c r="K187" s="38">
        <f t="shared" si="2"/>
        <v>2395.5567</v>
      </c>
      <c r="L187" s="39">
        <v>80.0</v>
      </c>
      <c r="M187" s="38">
        <f t="shared" si="13"/>
        <v>38328.9072</v>
      </c>
      <c r="N187" s="38">
        <f t="shared" si="77"/>
        <v>2395.5567</v>
      </c>
      <c r="O187" s="38"/>
      <c r="P187" s="38"/>
      <c r="Q187" s="40">
        <f t="shared" si="69"/>
        <v>7186.6701</v>
      </c>
      <c r="R187" s="49">
        <v>45911.0</v>
      </c>
      <c r="S187" s="49">
        <v>45924.0</v>
      </c>
      <c r="T187" s="47"/>
      <c r="U187" s="47"/>
      <c r="V187" s="47"/>
      <c r="W187" s="47"/>
      <c r="X187" s="45"/>
      <c r="Y187" s="43"/>
      <c r="Z187" s="43"/>
      <c r="AA187" s="43"/>
      <c r="AB187" s="43"/>
      <c r="AC187" s="43"/>
      <c r="AD187" s="43"/>
      <c r="AE187" s="43"/>
      <c r="AF187" s="43"/>
      <c r="AG187" s="43"/>
      <c r="AH187" s="43"/>
      <c r="AI187" s="43"/>
      <c r="AJ187" s="43"/>
      <c r="AK187" s="43"/>
      <c r="AL187" s="43"/>
    </row>
    <row r="188" hidden="1">
      <c r="A188" s="92" t="b">
        <v>0</v>
      </c>
      <c r="B188" s="46">
        <v>45884.0</v>
      </c>
      <c r="C188" s="39" t="s">
        <v>157</v>
      </c>
      <c r="D188" s="37" t="s">
        <v>653</v>
      </c>
      <c r="E188" s="37" t="s">
        <v>654</v>
      </c>
      <c r="F188" s="37" t="s">
        <v>655</v>
      </c>
      <c r="G188" s="38">
        <v>1367112.0</v>
      </c>
      <c r="H188" s="39" t="s">
        <v>506</v>
      </c>
      <c r="I188" s="39">
        <v>5.0</v>
      </c>
      <c r="J188" s="38">
        <f t="shared" si="71"/>
        <v>68355.6</v>
      </c>
      <c r="K188" s="38">
        <f t="shared" si="2"/>
        <v>3417.78</v>
      </c>
      <c r="L188" s="39">
        <v>50.0</v>
      </c>
      <c r="M188" s="38">
        <f t="shared" si="13"/>
        <v>34177.8</v>
      </c>
      <c r="N188" s="38">
        <f>J188*0.31</f>
        <v>21190.236</v>
      </c>
      <c r="O188" s="38"/>
      <c r="P188" s="38"/>
      <c r="Q188" s="40">
        <f t="shared" si="69"/>
        <v>12987.564</v>
      </c>
      <c r="R188" s="49">
        <v>45887.0</v>
      </c>
      <c r="S188" s="49">
        <v>45912.0</v>
      </c>
      <c r="T188" s="47"/>
      <c r="U188" s="47"/>
      <c r="V188" s="47"/>
      <c r="W188" s="47"/>
      <c r="X188" s="45"/>
      <c r="Y188" s="43"/>
      <c r="Z188" s="43"/>
      <c r="AA188" s="43"/>
      <c r="AB188" s="43"/>
      <c r="AC188" s="43"/>
      <c r="AD188" s="43"/>
      <c r="AE188" s="43"/>
      <c r="AF188" s="43"/>
      <c r="AG188" s="43"/>
      <c r="AH188" s="43"/>
      <c r="AI188" s="43"/>
      <c r="AJ188" s="43"/>
      <c r="AK188" s="43"/>
      <c r="AL188" s="43"/>
    </row>
    <row r="189" hidden="1">
      <c r="A189" s="92" t="b">
        <v>0</v>
      </c>
      <c r="B189" s="46">
        <v>45897.0</v>
      </c>
      <c r="C189" s="39" t="s">
        <v>150</v>
      </c>
      <c r="D189" s="37" t="s">
        <v>656</v>
      </c>
      <c r="E189" s="37" t="s">
        <v>200</v>
      </c>
      <c r="F189" s="38" t="s">
        <v>416</v>
      </c>
      <c r="G189" s="38">
        <v>1592750.0</v>
      </c>
      <c r="H189" s="39" t="s">
        <v>179</v>
      </c>
      <c r="I189" s="39">
        <v>5.0</v>
      </c>
      <c r="J189" s="38">
        <f t="shared" si="71"/>
        <v>79637.5</v>
      </c>
      <c r="K189" s="38">
        <f t="shared" si="2"/>
        <v>3981.875</v>
      </c>
      <c r="L189" s="39">
        <v>80.0</v>
      </c>
      <c r="M189" s="38">
        <f t="shared" si="13"/>
        <v>63710</v>
      </c>
      <c r="N189" s="38">
        <f>J189*0.09</f>
        <v>7167.375</v>
      </c>
      <c r="O189" s="38"/>
      <c r="P189" s="38"/>
      <c r="Q189" s="40">
        <f t="shared" si="69"/>
        <v>8760.125</v>
      </c>
      <c r="R189" s="35">
        <v>46009.0</v>
      </c>
      <c r="S189" s="35">
        <v>46020.0</v>
      </c>
      <c r="T189" s="47"/>
      <c r="U189" s="47"/>
      <c r="V189" s="47"/>
      <c r="W189" s="47"/>
      <c r="X189" s="45"/>
      <c r="Y189" s="43"/>
      <c r="Z189" s="43"/>
      <c r="AA189" s="43"/>
      <c r="AB189" s="43"/>
      <c r="AC189" s="43"/>
      <c r="AD189" s="43"/>
      <c r="AE189" s="43"/>
      <c r="AF189" s="43"/>
      <c r="AG189" s="43"/>
      <c r="AH189" s="43"/>
      <c r="AI189" s="43"/>
      <c r="AJ189" s="43"/>
      <c r="AK189" s="43"/>
      <c r="AL189" s="43"/>
    </row>
    <row r="190" hidden="1">
      <c r="A190" s="92" t="b">
        <v>0</v>
      </c>
      <c r="B190" s="46">
        <v>45901.0</v>
      </c>
      <c r="C190" s="39" t="s">
        <v>150</v>
      </c>
      <c r="D190" s="37" t="s">
        <v>543</v>
      </c>
      <c r="E190" s="37" t="s">
        <v>200</v>
      </c>
      <c r="F190" s="38" t="s">
        <v>416</v>
      </c>
      <c r="G190" s="38">
        <v>738973.4</v>
      </c>
      <c r="H190" s="39" t="s">
        <v>515</v>
      </c>
      <c r="I190" s="39">
        <v>5.0</v>
      </c>
      <c r="J190" s="38">
        <f t="shared" si="71"/>
        <v>36948.67</v>
      </c>
      <c r="K190" s="38">
        <f t="shared" si="2"/>
        <v>1847.4335</v>
      </c>
      <c r="L190" s="39">
        <v>80.0</v>
      </c>
      <c r="M190" s="38">
        <f t="shared" si="13"/>
        <v>29558.936</v>
      </c>
      <c r="N190" s="38">
        <f>J190*0.08</f>
        <v>2955.8936</v>
      </c>
      <c r="O190" s="38"/>
      <c r="P190" s="38"/>
      <c r="Q190" s="40">
        <f t="shared" si="69"/>
        <v>4433.8404</v>
      </c>
      <c r="R190" s="49">
        <v>45929.0</v>
      </c>
      <c r="S190" s="35">
        <v>46009.0</v>
      </c>
      <c r="T190" s="39" t="s">
        <v>657</v>
      </c>
      <c r="U190" s="47"/>
      <c r="V190" s="47"/>
      <c r="W190" s="47"/>
      <c r="X190" s="45"/>
      <c r="Y190" s="43"/>
      <c r="Z190" s="43"/>
      <c r="AA190" s="43"/>
      <c r="AB190" s="43"/>
      <c r="AC190" s="43"/>
      <c r="AD190" s="43"/>
      <c r="AE190" s="43"/>
      <c r="AF190" s="43"/>
      <c r="AG190" s="43"/>
      <c r="AH190" s="43"/>
      <c r="AI190" s="43"/>
      <c r="AJ190" s="43"/>
      <c r="AK190" s="43"/>
      <c r="AL190" s="43"/>
    </row>
    <row r="191" hidden="1">
      <c r="A191" s="92" t="b">
        <v>0</v>
      </c>
      <c r="B191" s="46">
        <v>45916.0</v>
      </c>
      <c r="C191" s="39" t="s">
        <v>157</v>
      </c>
      <c r="D191" s="37" t="s">
        <v>658</v>
      </c>
      <c r="E191" s="37" t="s">
        <v>157</v>
      </c>
      <c r="F191" s="37"/>
      <c r="G191" s="38">
        <v>2.506315E7</v>
      </c>
      <c r="H191" s="39" t="s">
        <v>659</v>
      </c>
      <c r="I191" s="39">
        <v>5.0</v>
      </c>
      <c r="J191" s="38">
        <f t="shared" si="71"/>
        <v>1253157.5</v>
      </c>
      <c r="K191" s="38">
        <f t="shared" si="2"/>
        <v>62657.875</v>
      </c>
      <c r="L191" s="39">
        <v>90.0</v>
      </c>
      <c r="M191" s="38">
        <f t="shared" si="13"/>
        <v>1127841.75</v>
      </c>
      <c r="N191" s="38"/>
      <c r="O191" s="38"/>
      <c r="P191" s="38"/>
      <c r="Q191" s="40">
        <f t="shared" si="69"/>
        <v>125315.75</v>
      </c>
      <c r="R191" s="49">
        <v>45927.0</v>
      </c>
      <c r="S191" s="49">
        <v>45938.0</v>
      </c>
      <c r="T191" s="47"/>
      <c r="U191" s="47"/>
      <c r="V191" s="47"/>
      <c r="W191" s="47"/>
      <c r="X191" s="45"/>
      <c r="Y191" s="43"/>
      <c r="Z191" s="43"/>
      <c r="AA191" s="43"/>
      <c r="AB191" s="43"/>
      <c r="AC191" s="43"/>
      <c r="AD191" s="43"/>
      <c r="AE191" s="43"/>
      <c r="AF191" s="43"/>
      <c r="AG191" s="43"/>
      <c r="AH191" s="43"/>
      <c r="AI191" s="43"/>
      <c r="AJ191" s="43"/>
      <c r="AK191" s="43"/>
      <c r="AL191" s="43"/>
    </row>
    <row r="192" hidden="1">
      <c r="A192" s="92" t="b">
        <v>0</v>
      </c>
      <c r="B192" s="46">
        <v>45919.0</v>
      </c>
      <c r="C192" s="39" t="s">
        <v>219</v>
      </c>
      <c r="D192" s="37" t="s">
        <v>660</v>
      </c>
      <c r="E192" s="37" t="s">
        <v>661</v>
      </c>
      <c r="F192" s="37" t="s">
        <v>514</v>
      </c>
      <c r="G192" s="38">
        <v>2412332.0</v>
      </c>
      <c r="H192" s="39" t="s">
        <v>185</v>
      </c>
      <c r="I192" s="39">
        <v>4.0</v>
      </c>
      <c r="J192" s="38">
        <f t="shared" si="71"/>
        <v>96493.28</v>
      </c>
      <c r="K192" s="38">
        <f t="shared" si="2"/>
        <v>4824.664</v>
      </c>
      <c r="L192" s="39">
        <v>50.0</v>
      </c>
      <c r="M192" s="38">
        <f t="shared" si="13"/>
        <v>48246.64</v>
      </c>
      <c r="N192" s="38">
        <f>J192*0.05</f>
        <v>4824.664</v>
      </c>
      <c r="O192" s="38"/>
      <c r="P192" s="38"/>
      <c r="Q192" s="40">
        <f t="shared" si="69"/>
        <v>43421.976</v>
      </c>
      <c r="R192" s="39"/>
      <c r="S192" s="49">
        <v>46073.0</v>
      </c>
      <c r="T192" s="39" t="s">
        <v>662</v>
      </c>
      <c r="U192" s="47"/>
      <c r="V192" s="47"/>
      <c r="W192" s="47"/>
      <c r="X192" s="45"/>
      <c r="Y192" s="43"/>
      <c r="Z192" s="43"/>
      <c r="AA192" s="43"/>
      <c r="AB192" s="43"/>
      <c r="AC192" s="43"/>
      <c r="AD192" s="43"/>
      <c r="AE192" s="43"/>
      <c r="AF192" s="43"/>
      <c r="AG192" s="43"/>
      <c r="AH192" s="43"/>
      <c r="AI192" s="43"/>
      <c r="AJ192" s="43"/>
      <c r="AK192" s="43"/>
      <c r="AL192" s="43"/>
    </row>
    <row r="193" hidden="1">
      <c r="A193" s="92" t="b">
        <v>0</v>
      </c>
      <c r="B193" s="46">
        <v>45925.0</v>
      </c>
      <c r="C193" s="39" t="s">
        <v>150</v>
      </c>
      <c r="D193" s="37" t="s">
        <v>663</v>
      </c>
      <c r="E193" s="37" t="s">
        <v>664</v>
      </c>
      <c r="F193" s="37" t="s">
        <v>665</v>
      </c>
      <c r="G193" s="38">
        <v>1210828.0</v>
      </c>
      <c r="H193" s="39" t="s">
        <v>666</v>
      </c>
      <c r="I193" s="39">
        <v>5.0</v>
      </c>
      <c r="J193" s="38">
        <f t="shared" si="71"/>
        <v>60541.4</v>
      </c>
      <c r="K193" s="38">
        <f t="shared" si="2"/>
        <v>3027.07</v>
      </c>
      <c r="L193" s="39">
        <v>88.0</v>
      </c>
      <c r="M193" s="38">
        <f t="shared" si="13"/>
        <v>53276.432</v>
      </c>
      <c r="N193" s="38">
        <f>J193*0.01</f>
        <v>605.414</v>
      </c>
      <c r="O193" s="38"/>
      <c r="P193" s="38"/>
      <c r="Q193" s="40">
        <f t="shared" si="69"/>
        <v>6659.554</v>
      </c>
      <c r="R193" s="35">
        <v>45947.0</v>
      </c>
      <c r="S193" s="49">
        <v>45671.0</v>
      </c>
      <c r="T193" s="39" t="s">
        <v>667</v>
      </c>
      <c r="U193" s="47"/>
      <c r="V193" s="47"/>
      <c r="W193" s="47"/>
      <c r="X193" s="45"/>
      <c r="Y193" s="43"/>
      <c r="Z193" s="43"/>
      <c r="AA193" s="43"/>
      <c r="AB193" s="43"/>
      <c r="AC193" s="43"/>
      <c r="AD193" s="43"/>
      <c r="AE193" s="43"/>
      <c r="AF193" s="43"/>
      <c r="AG193" s="43"/>
      <c r="AH193" s="43"/>
      <c r="AI193" s="43"/>
      <c r="AJ193" s="43"/>
      <c r="AK193" s="43"/>
      <c r="AL193" s="43"/>
    </row>
    <row r="194">
      <c r="A194" s="92" t="b">
        <v>1</v>
      </c>
      <c r="B194" s="100">
        <v>45926.0</v>
      </c>
      <c r="C194" s="101" t="s">
        <v>219</v>
      </c>
      <c r="D194" s="102" t="s">
        <v>668</v>
      </c>
      <c r="E194" s="102" t="s">
        <v>426</v>
      </c>
      <c r="F194" s="102" t="s">
        <v>514</v>
      </c>
      <c r="G194" s="103">
        <v>847500.0</v>
      </c>
      <c r="H194" s="18" t="s">
        <v>669</v>
      </c>
      <c r="I194" s="18">
        <v>5.0</v>
      </c>
      <c r="J194" s="109">
        <f t="shared" si="71"/>
        <v>42375</v>
      </c>
      <c r="K194" s="109">
        <f t="shared" si="2"/>
        <v>2118.75</v>
      </c>
      <c r="L194" s="18">
        <v>85.0</v>
      </c>
      <c r="M194" s="109">
        <f t="shared" si="13"/>
        <v>36018.75</v>
      </c>
      <c r="N194" s="103">
        <f t="shared" ref="N194:N197" si="78">J194*0.03</f>
        <v>1271.25</v>
      </c>
      <c r="O194" s="103"/>
      <c r="P194" s="103"/>
      <c r="Q194" s="110">
        <f t="shared" si="69"/>
        <v>5085</v>
      </c>
      <c r="R194" s="101"/>
      <c r="S194" s="101"/>
      <c r="T194" s="105"/>
      <c r="U194" s="105"/>
      <c r="V194" s="105"/>
      <c r="W194" s="105"/>
      <c r="X194" s="5"/>
      <c r="Y194" s="106"/>
      <c r="Z194" s="43"/>
      <c r="AA194" s="43"/>
      <c r="AB194" s="43"/>
      <c r="AC194" s="43"/>
      <c r="AD194" s="43"/>
      <c r="AE194" s="43"/>
      <c r="AF194" s="43"/>
      <c r="AG194" s="43"/>
      <c r="AH194" s="43"/>
      <c r="AI194" s="43"/>
      <c r="AJ194" s="43"/>
      <c r="AK194" s="43"/>
      <c r="AL194" s="43"/>
    </row>
    <row r="195" hidden="1">
      <c r="A195" s="92" t="b">
        <v>0</v>
      </c>
      <c r="B195" s="46">
        <v>45926.0</v>
      </c>
      <c r="C195" s="39" t="s">
        <v>219</v>
      </c>
      <c r="D195" s="37" t="s">
        <v>670</v>
      </c>
      <c r="E195" s="37" t="s">
        <v>426</v>
      </c>
      <c r="F195" s="37" t="s">
        <v>514</v>
      </c>
      <c r="G195" s="38">
        <v>623566.0</v>
      </c>
      <c r="H195" s="39" t="s">
        <v>671</v>
      </c>
      <c r="I195" s="39">
        <v>5.0</v>
      </c>
      <c r="J195" s="38">
        <f t="shared" si="71"/>
        <v>31178.3</v>
      </c>
      <c r="K195" s="38">
        <f t="shared" si="2"/>
        <v>1558.915</v>
      </c>
      <c r="L195" s="39">
        <v>85.0</v>
      </c>
      <c r="M195" s="38">
        <f t="shared" si="13"/>
        <v>26501.555</v>
      </c>
      <c r="N195" s="38">
        <f t="shared" si="78"/>
        <v>935.349</v>
      </c>
      <c r="O195" s="38"/>
      <c r="P195" s="38"/>
      <c r="Q195" s="40">
        <f t="shared" si="69"/>
        <v>3741.396</v>
      </c>
      <c r="R195" s="49">
        <v>45938.0</v>
      </c>
      <c r="S195" s="49">
        <v>45966.0</v>
      </c>
      <c r="T195" s="47"/>
      <c r="U195" s="47"/>
      <c r="V195" s="47"/>
      <c r="W195" s="47"/>
      <c r="X195" s="45"/>
      <c r="Y195" s="43"/>
      <c r="Z195" s="106"/>
      <c r="AA195" s="106"/>
      <c r="AB195" s="106"/>
      <c r="AC195" s="106"/>
      <c r="AD195" s="106"/>
      <c r="AE195" s="106"/>
      <c r="AF195" s="106"/>
      <c r="AG195" s="106"/>
      <c r="AH195" s="106"/>
      <c r="AI195" s="106"/>
      <c r="AJ195" s="106"/>
      <c r="AK195" s="106"/>
      <c r="AL195" s="106"/>
    </row>
    <row r="196" hidden="1">
      <c r="A196" s="92" t="b">
        <v>0</v>
      </c>
      <c r="B196" s="46">
        <v>45935.0</v>
      </c>
      <c r="C196" s="39" t="s">
        <v>219</v>
      </c>
      <c r="D196" s="37" t="s">
        <v>672</v>
      </c>
      <c r="E196" s="37" t="s">
        <v>426</v>
      </c>
      <c r="F196" s="37" t="s">
        <v>514</v>
      </c>
      <c r="G196" s="38">
        <v>739929.05</v>
      </c>
      <c r="H196" s="39" t="s">
        <v>515</v>
      </c>
      <c r="I196" s="39" t="s">
        <v>673</v>
      </c>
      <c r="J196" s="38">
        <f t="shared" si="71"/>
        <v>36996.4525</v>
      </c>
      <c r="K196" s="38">
        <f t="shared" si="2"/>
        <v>1849.822625</v>
      </c>
      <c r="L196" s="39">
        <v>85.0</v>
      </c>
      <c r="M196" s="38">
        <f t="shared" si="13"/>
        <v>31446.98463</v>
      </c>
      <c r="N196" s="38">
        <f t="shared" si="78"/>
        <v>1109.893575</v>
      </c>
      <c r="O196" s="38"/>
      <c r="P196" s="38"/>
      <c r="Q196" s="40">
        <f t="shared" si="69"/>
        <v>4439.5743</v>
      </c>
      <c r="R196" s="49">
        <v>45996.0</v>
      </c>
      <c r="S196" s="35">
        <v>46009.0</v>
      </c>
      <c r="T196" s="47"/>
      <c r="U196" s="47"/>
      <c r="V196" s="47"/>
      <c r="W196" s="47"/>
      <c r="X196" s="45"/>
      <c r="Y196" s="43"/>
      <c r="Z196" s="43"/>
      <c r="AA196" s="43"/>
      <c r="AB196" s="43"/>
      <c r="AC196" s="43"/>
      <c r="AD196" s="43"/>
      <c r="AE196" s="43"/>
      <c r="AF196" s="43"/>
      <c r="AG196" s="43"/>
      <c r="AH196" s="43"/>
      <c r="AI196" s="43"/>
      <c r="AJ196" s="43"/>
      <c r="AK196" s="43"/>
      <c r="AL196" s="43"/>
    </row>
    <row r="197" hidden="1">
      <c r="A197" s="92" t="b">
        <v>0</v>
      </c>
      <c r="B197" s="46">
        <v>45936.0</v>
      </c>
      <c r="C197" s="39" t="s">
        <v>219</v>
      </c>
      <c r="D197" s="37" t="s">
        <v>674</v>
      </c>
      <c r="E197" s="37" t="s">
        <v>426</v>
      </c>
      <c r="F197" s="37" t="s">
        <v>514</v>
      </c>
      <c r="G197" s="38">
        <v>739228.0</v>
      </c>
      <c r="H197" s="39" t="s">
        <v>515</v>
      </c>
      <c r="I197" s="39">
        <v>5.0</v>
      </c>
      <c r="J197" s="38">
        <f t="shared" si="71"/>
        <v>36961.4</v>
      </c>
      <c r="K197" s="38">
        <f t="shared" si="2"/>
        <v>1848.07</v>
      </c>
      <c r="L197" s="39">
        <v>85.0</v>
      </c>
      <c r="M197" s="38">
        <f t="shared" si="13"/>
        <v>31417.19</v>
      </c>
      <c r="N197" s="38">
        <f t="shared" si="78"/>
        <v>1108.842</v>
      </c>
      <c r="O197" s="38"/>
      <c r="P197" s="38"/>
      <c r="Q197" s="40">
        <f t="shared" si="69"/>
        <v>4435.368</v>
      </c>
      <c r="R197" s="49">
        <v>45996.0</v>
      </c>
      <c r="S197" s="35">
        <v>46009.0</v>
      </c>
      <c r="T197" s="47"/>
      <c r="U197" s="47"/>
      <c r="V197" s="47"/>
      <c r="W197" s="47"/>
      <c r="X197" s="45"/>
      <c r="Y197" s="43"/>
      <c r="Z197" s="43"/>
      <c r="AA197" s="43"/>
      <c r="AB197" s="43"/>
      <c r="AC197" s="43"/>
      <c r="AD197" s="43"/>
      <c r="AE197" s="43"/>
      <c r="AF197" s="43"/>
      <c r="AG197" s="43"/>
      <c r="AH197" s="43"/>
      <c r="AI197" s="43"/>
      <c r="AJ197" s="43"/>
      <c r="AK197" s="43"/>
      <c r="AL197" s="43"/>
    </row>
    <row r="198" hidden="1">
      <c r="A198" s="92" t="b">
        <v>0</v>
      </c>
      <c r="B198" s="46">
        <v>45937.0</v>
      </c>
      <c r="C198" s="39" t="s">
        <v>150</v>
      </c>
      <c r="D198" s="37" t="s">
        <v>675</v>
      </c>
      <c r="E198" s="37" t="s">
        <v>676</v>
      </c>
      <c r="F198" s="37" t="s">
        <v>295</v>
      </c>
      <c r="G198" s="38">
        <v>803857.0</v>
      </c>
      <c r="H198" s="39" t="s">
        <v>515</v>
      </c>
      <c r="I198" s="39">
        <v>5.0</v>
      </c>
      <c r="J198" s="38">
        <f t="shared" si="71"/>
        <v>40192.85</v>
      </c>
      <c r="K198" s="38">
        <f t="shared" si="2"/>
        <v>2009.6425</v>
      </c>
      <c r="L198" s="39">
        <v>70.0</v>
      </c>
      <c r="M198" s="38">
        <f t="shared" si="13"/>
        <v>28134.995</v>
      </c>
      <c r="N198" s="38">
        <v>3000.0</v>
      </c>
      <c r="O198" s="38"/>
      <c r="P198" s="38"/>
      <c r="Q198" s="40">
        <f t="shared" si="69"/>
        <v>9057.855</v>
      </c>
      <c r="R198" s="49">
        <v>45996.0</v>
      </c>
      <c r="S198" s="35">
        <v>46009.0</v>
      </c>
      <c r="T198" s="47"/>
      <c r="U198" s="47"/>
      <c r="V198" s="47"/>
      <c r="W198" s="47"/>
      <c r="X198" s="45"/>
      <c r="Y198" s="43"/>
      <c r="Z198" s="43"/>
      <c r="AA198" s="43"/>
      <c r="AB198" s="43"/>
      <c r="AC198" s="43"/>
      <c r="AD198" s="43"/>
      <c r="AE198" s="43"/>
      <c r="AF198" s="43"/>
      <c r="AG198" s="43"/>
      <c r="AH198" s="43"/>
      <c r="AI198" s="43"/>
      <c r="AJ198" s="43"/>
      <c r="AK198" s="43"/>
      <c r="AL198" s="43"/>
    </row>
    <row r="199" hidden="1">
      <c r="A199" s="92" t="b">
        <v>0</v>
      </c>
      <c r="B199" s="46">
        <v>45940.0</v>
      </c>
      <c r="C199" s="39" t="s">
        <v>219</v>
      </c>
      <c r="D199" s="37" t="s">
        <v>677</v>
      </c>
      <c r="E199" s="37" t="s">
        <v>652</v>
      </c>
      <c r="F199" s="37" t="s">
        <v>514</v>
      </c>
      <c r="G199" s="38">
        <v>3623600.0</v>
      </c>
      <c r="H199" s="39" t="s">
        <v>659</v>
      </c>
      <c r="I199" s="39">
        <v>4.0</v>
      </c>
      <c r="J199" s="38">
        <f t="shared" si="71"/>
        <v>144944</v>
      </c>
      <c r="K199" s="38">
        <f t="shared" si="2"/>
        <v>7247.2</v>
      </c>
      <c r="L199" s="39">
        <v>65.0</v>
      </c>
      <c r="M199" s="38">
        <f t="shared" si="13"/>
        <v>94213.6</v>
      </c>
      <c r="N199" s="38">
        <f t="shared" ref="N199:N200" si="79">J199*0.05</f>
        <v>7247.2</v>
      </c>
      <c r="O199" s="38"/>
      <c r="P199" s="38"/>
      <c r="Q199" s="40">
        <f t="shared" si="69"/>
        <v>43483.2</v>
      </c>
      <c r="R199" s="35">
        <v>45980.0</v>
      </c>
      <c r="S199" s="35">
        <v>46050.0</v>
      </c>
      <c r="T199" s="39" t="s">
        <v>678</v>
      </c>
      <c r="U199" s="47"/>
      <c r="V199" s="47"/>
      <c r="W199" s="47"/>
      <c r="X199" s="45"/>
      <c r="Y199" s="43"/>
      <c r="Z199" s="43"/>
      <c r="AA199" s="43"/>
      <c r="AB199" s="43"/>
      <c r="AC199" s="43"/>
      <c r="AD199" s="43"/>
      <c r="AE199" s="43"/>
      <c r="AF199" s="43"/>
      <c r="AG199" s="43"/>
      <c r="AH199" s="43"/>
      <c r="AI199" s="43"/>
      <c r="AJ199" s="43"/>
      <c r="AK199" s="43"/>
      <c r="AL199" s="43"/>
    </row>
    <row r="200" hidden="1">
      <c r="A200" s="92" t="b">
        <v>0</v>
      </c>
      <c r="B200" s="46">
        <v>45946.0</v>
      </c>
      <c r="C200" s="39" t="s">
        <v>219</v>
      </c>
      <c r="D200" s="37" t="s">
        <v>679</v>
      </c>
      <c r="E200" s="37" t="s">
        <v>649</v>
      </c>
      <c r="F200" s="37" t="s">
        <v>514</v>
      </c>
      <c r="G200" s="38">
        <v>1588828.0</v>
      </c>
      <c r="H200" s="39" t="s">
        <v>191</v>
      </c>
      <c r="I200" s="39">
        <v>5.0</v>
      </c>
      <c r="J200" s="38">
        <f>G200*I200%</f>
        <v>79441.4</v>
      </c>
      <c r="K200" s="38">
        <f t="shared" si="2"/>
        <v>3972.07</v>
      </c>
      <c r="L200" s="39">
        <v>50.0</v>
      </c>
      <c r="M200" s="38">
        <f t="shared" si="13"/>
        <v>39720.7</v>
      </c>
      <c r="N200" s="38">
        <f t="shared" si="79"/>
        <v>3972.07</v>
      </c>
      <c r="O200" s="38"/>
      <c r="P200" s="38"/>
      <c r="Q200" s="40">
        <f t="shared" si="69"/>
        <v>35748.63</v>
      </c>
      <c r="R200" s="35">
        <v>45980.0</v>
      </c>
      <c r="S200" s="35">
        <v>45990.0</v>
      </c>
      <c r="T200" s="47"/>
      <c r="U200" s="47"/>
      <c r="V200" s="47"/>
      <c r="W200" s="47"/>
      <c r="X200" s="45"/>
      <c r="Y200" s="43"/>
      <c r="Z200" s="43"/>
      <c r="AA200" s="43"/>
      <c r="AB200" s="43"/>
      <c r="AC200" s="43"/>
      <c r="AD200" s="43"/>
      <c r="AE200" s="43"/>
      <c r="AF200" s="43"/>
      <c r="AG200" s="43"/>
      <c r="AH200" s="43"/>
      <c r="AI200" s="43"/>
      <c r="AJ200" s="43"/>
      <c r="AK200" s="43"/>
      <c r="AL200" s="43"/>
    </row>
    <row r="201" hidden="1">
      <c r="A201" s="92" t="b">
        <v>0</v>
      </c>
      <c r="B201" s="46">
        <v>45951.0</v>
      </c>
      <c r="C201" s="39" t="s">
        <v>150</v>
      </c>
      <c r="D201" s="37" t="s">
        <v>680</v>
      </c>
      <c r="E201" s="37" t="s">
        <v>681</v>
      </c>
      <c r="F201" s="37" t="s">
        <v>44</v>
      </c>
      <c r="G201" s="38">
        <v>752000.0</v>
      </c>
      <c r="H201" s="39" t="s">
        <v>682</v>
      </c>
      <c r="I201" s="39">
        <v>5.0</v>
      </c>
      <c r="J201" s="38">
        <f t="shared" ref="J201:J213" si="80">(G201*I201)/100</f>
        <v>37600</v>
      </c>
      <c r="K201" s="38">
        <f t="shared" si="2"/>
        <v>1880</v>
      </c>
      <c r="L201" s="39">
        <v>88.0</v>
      </c>
      <c r="M201" s="38">
        <f t="shared" si="13"/>
        <v>33088</v>
      </c>
      <c r="N201" s="38"/>
      <c r="O201" s="38"/>
      <c r="P201" s="38"/>
      <c r="Q201" s="40">
        <f t="shared" si="69"/>
        <v>4512</v>
      </c>
      <c r="R201" s="49">
        <v>46055.0</v>
      </c>
      <c r="S201" s="49">
        <v>46080.0</v>
      </c>
      <c r="T201" s="47"/>
      <c r="U201" s="39" t="s">
        <v>683</v>
      </c>
      <c r="V201" s="47"/>
      <c r="W201" s="47"/>
      <c r="X201" s="45"/>
      <c r="Y201" s="43"/>
      <c r="Z201" s="43"/>
      <c r="AA201" s="43"/>
      <c r="AB201" s="43"/>
      <c r="AC201" s="43"/>
      <c r="AD201" s="43"/>
      <c r="AE201" s="43"/>
      <c r="AF201" s="43"/>
      <c r="AG201" s="43"/>
      <c r="AH201" s="43"/>
      <c r="AI201" s="43"/>
      <c r="AJ201" s="43"/>
      <c r="AK201" s="43"/>
      <c r="AL201" s="43"/>
    </row>
    <row r="202">
      <c r="A202" s="92" t="b">
        <v>1</v>
      </c>
      <c r="B202" s="96">
        <v>45952.0</v>
      </c>
      <c r="C202" s="50" t="s">
        <v>150</v>
      </c>
      <c r="D202" s="97" t="s">
        <v>684</v>
      </c>
      <c r="E202" s="97" t="s">
        <v>685</v>
      </c>
      <c r="F202" s="97"/>
      <c r="G202" s="98">
        <v>746000.0</v>
      </c>
      <c r="H202" s="50" t="s">
        <v>686</v>
      </c>
      <c r="I202" s="50">
        <v>5.0</v>
      </c>
      <c r="J202" s="98">
        <f t="shared" si="80"/>
        <v>37300</v>
      </c>
      <c r="K202" s="98">
        <f t="shared" si="2"/>
        <v>1865</v>
      </c>
      <c r="L202" s="50">
        <v>80.0</v>
      </c>
      <c r="M202" s="98">
        <f t="shared" si="13"/>
        <v>29840</v>
      </c>
      <c r="N202" s="98"/>
      <c r="O202" s="98"/>
      <c r="P202" s="98"/>
      <c r="Q202" s="99">
        <f t="shared" si="69"/>
        <v>7460</v>
      </c>
      <c r="R202" s="111">
        <v>46044.0</v>
      </c>
      <c r="S202" s="50"/>
      <c r="T202" s="51"/>
      <c r="U202" s="51"/>
      <c r="V202" s="51"/>
      <c r="W202" s="51"/>
      <c r="X202" s="55"/>
      <c r="Y202" s="52"/>
      <c r="Z202" s="52"/>
      <c r="AA202" s="52"/>
      <c r="AB202" s="52"/>
      <c r="AC202" s="52"/>
      <c r="AD202" s="52"/>
      <c r="AE202" s="52"/>
      <c r="AF202" s="52"/>
      <c r="AG202" s="52"/>
      <c r="AH202" s="52"/>
      <c r="AI202" s="52"/>
      <c r="AJ202" s="52"/>
      <c r="AK202" s="52"/>
      <c r="AL202" s="52"/>
    </row>
    <row r="203" hidden="1">
      <c r="A203" s="92" t="b">
        <v>0</v>
      </c>
      <c r="B203" s="46">
        <v>45953.0</v>
      </c>
      <c r="C203" s="39" t="s">
        <v>150</v>
      </c>
      <c r="D203" s="37" t="s">
        <v>687</v>
      </c>
      <c r="E203" s="37" t="s">
        <v>685</v>
      </c>
      <c r="F203" s="37"/>
      <c r="G203" s="38">
        <v>2649000.0</v>
      </c>
      <c r="H203" s="39" t="s">
        <v>688</v>
      </c>
      <c r="I203" s="39">
        <v>6.0</v>
      </c>
      <c r="J203" s="38">
        <f t="shared" si="80"/>
        <v>158940</v>
      </c>
      <c r="K203" s="38">
        <f t="shared" si="2"/>
        <v>7947</v>
      </c>
      <c r="L203" s="39">
        <v>88.0</v>
      </c>
      <c r="M203" s="38">
        <f t="shared" si="13"/>
        <v>139867.2</v>
      </c>
      <c r="N203" s="38"/>
      <c r="O203" s="38"/>
      <c r="P203" s="38"/>
      <c r="Q203" s="40">
        <f t="shared" si="69"/>
        <v>19072.8</v>
      </c>
      <c r="R203" s="35">
        <v>45989.0</v>
      </c>
      <c r="S203" s="49">
        <v>46090.0</v>
      </c>
      <c r="T203" s="47"/>
      <c r="U203" s="47"/>
      <c r="V203" s="47"/>
      <c r="W203" s="47"/>
      <c r="X203" s="45"/>
      <c r="Y203" s="43"/>
      <c r="Z203" s="43"/>
      <c r="AA203" s="43"/>
      <c r="AB203" s="43"/>
      <c r="AC203" s="43"/>
      <c r="AD203" s="43"/>
      <c r="AE203" s="43"/>
      <c r="AF203" s="43"/>
      <c r="AG203" s="43"/>
      <c r="AH203" s="43"/>
      <c r="AI203" s="43"/>
      <c r="AJ203" s="43"/>
      <c r="AK203" s="43"/>
      <c r="AL203" s="43"/>
    </row>
    <row r="204">
      <c r="A204" s="92" t="b">
        <v>1</v>
      </c>
      <c r="B204" s="100">
        <v>45954.0</v>
      </c>
      <c r="C204" s="101" t="s">
        <v>219</v>
      </c>
      <c r="D204" s="102" t="s">
        <v>689</v>
      </c>
      <c r="E204" s="102" t="s">
        <v>426</v>
      </c>
      <c r="F204" s="102" t="s">
        <v>514</v>
      </c>
      <c r="G204" s="103">
        <v>834900.0</v>
      </c>
      <c r="H204" s="107" t="s">
        <v>482</v>
      </c>
      <c r="I204" s="107">
        <v>5.0</v>
      </c>
      <c r="J204" s="109">
        <f t="shared" si="80"/>
        <v>41745</v>
      </c>
      <c r="K204" s="109">
        <f t="shared" si="2"/>
        <v>2087.25</v>
      </c>
      <c r="L204" s="18">
        <v>85.0</v>
      </c>
      <c r="M204" s="109">
        <f t="shared" si="13"/>
        <v>35483.25</v>
      </c>
      <c r="N204" s="103">
        <f t="shared" ref="N204:N205" si="81">J204*0.03</f>
        <v>1252.35</v>
      </c>
      <c r="O204" s="103"/>
      <c r="P204" s="103"/>
      <c r="Q204" s="110">
        <f t="shared" si="69"/>
        <v>5009.4</v>
      </c>
      <c r="R204" s="101"/>
      <c r="S204" s="101"/>
      <c r="T204" s="105"/>
      <c r="U204" s="105"/>
      <c r="V204" s="105"/>
      <c r="W204" s="105"/>
      <c r="X204" s="5"/>
      <c r="Y204" s="106"/>
      <c r="Z204" s="106"/>
      <c r="AA204" s="106"/>
      <c r="AB204" s="106"/>
      <c r="AC204" s="106"/>
      <c r="AD204" s="106"/>
      <c r="AE204" s="106"/>
      <c r="AF204" s="106"/>
      <c r="AG204" s="106"/>
      <c r="AH204" s="106"/>
      <c r="AI204" s="106"/>
      <c r="AJ204" s="106"/>
      <c r="AK204" s="106"/>
      <c r="AL204" s="106"/>
    </row>
    <row r="205" hidden="1">
      <c r="A205" s="92" t="b">
        <v>0</v>
      </c>
      <c r="B205" s="46">
        <v>45954.0</v>
      </c>
      <c r="C205" s="39" t="s">
        <v>219</v>
      </c>
      <c r="D205" s="37" t="s">
        <v>689</v>
      </c>
      <c r="E205" s="37" t="s">
        <v>426</v>
      </c>
      <c r="F205" s="37" t="s">
        <v>514</v>
      </c>
      <c r="G205" s="38">
        <v>1247533.94</v>
      </c>
      <c r="H205" s="39" t="s">
        <v>506</v>
      </c>
      <c r="I205" s="39">
        <v>6.0</v>
      </c>
      <c r="J205" s="38">
        <f t="shared" si="80"/>
        <v>74852.0364</v>
      </c>
      <c r="K205" s="38">
        <f t="shared" si="2"/>
        <v>3742.60182</v>
      </c>
      <c r="L205" s="39">
        <v>85.0</v>
      </c>
      <c r="M205" s="38">
        <f t="shared" si="13"/>
        <v>63624.23094</v>
      </c>
      <c r="N205" s="38">
        <f t="shared" si="81"/>
        <v>2245.561092</v>
      </c>
      <c r="O205" s="38"/>
      <c r="P205" s="38"/>
      <c r="Q205" s="40">
        <f t="shared" si="69"/>
        <v>8982.244368</v>
      </c>
      <c r="R205" s="49">
        <v>46069.0</v>
      </c>
      <c r="S205" s="49">
        <v>46078.0</v>
      </c>
      <c r="T205" s="47"/>
      <c r="U205" s="47"/>
      <c r="V205" s="47"/>
      <c r="W205" s="47"/>
      <c r="X205" s="45"/>
      <c r="Y205" s="43"/>
      <c r="Z205" s="43"/>
      <c r="AA205" s="43"/>
      <c r="AB205" s="43"/>
      <c r="AC205" s="43"/>
      <c r="AD205" s="43"/>
      <c r="AE205" s="43"/>
      <c r="AF205" s="43"/>
      <c r="AG205" s="43"/>
      <c r="AH205" s="43"/>
      <c r="AI205" s="43"/>
      <c r="AJ205" s="43"/>
      <c r="AK205" s="43"/>
      <c r="AL205" s="43"/>
    </row>
    <row r="206" hidden="1">
      <c r="A206" s="92" t="b">
        <v>1</v>
      </c>
      <c r="B206" s="96">
        <v>45956.0</v>
      </c>
      <c r="C206" s="50" t="s">
        <v>219</v>
      </c>
      <c r="D206" s="97" t="s">
        <v>690</v>
      </c>
      <c r="E206" s="97" t="s">
        <v>691</v>
      </c>
      <c r="F206" s="97" t="s">
        <v>514</v>
      </c>
      <c r="G206" s="98">
        <v>2605096.0</v>
      </c>
      <c r="H206" s="50" t="s">
        <v>659</v>
      </c>
      <c r="I206" s="50">
        <v>4.0</v>
      </c>
      <c r="J206" s="98">
        <f t="shared" si="80"/>
        <v>104203.84</v>
      </c>
      <c r="K206" s="98">
        <f t="shared" si="2"/>
        <v>5210.192</v>
      </c>
      <c r="L206" s="50">
        <v>50.0</v>
      </c>
      <c r="M206" s="98">
        <f t="shared" si="13"/>
        <v>52101.92</v>
      </c>
      <c r="N206" s="98">
        <f>J206*0.05</f>
        <v>5210.192</v>
      </c>
      <c r="O206" s="98"/>
      <c r="P206" s="98"/>
      <c r="Q206" s="99">
        <f t="shared" si="69"/>
        <v>46891.728</v>
      </c>
      <c r="R206" s="112">
        <v>45971.0</v>
      </c>
      <c r="S206" s="112">
        <v>45983.0</v>
      </c>
      <c r="T206" s="50" t="s">
        <v>692</v>
      </c>
      <c r="U206" s="51"/>
      <c r="V206" s="51"/>
      <c r="W206" s="51"/>
      <c r="X206" s="55"/>
      <c r="Y206" s="52"/>
      <c r="Z206" s="52"/>
      <c r="AA206" s="52"/>
      <c r="AB206" s="52"/>
      <c r="AC206" s="52"/>
      <c r="AD206" s="52"/>
      <c r="AE206" s="52"/>
      <c r="AF206" s="52"/>
      <c r="AG206" s="52"/>
      <c r="AH206" s="52"/>
      <c r="AI206" s="52"/>
      <c r="AJ206" s="52"/>
      <c r="AK206" s="52"/>
      <c r="AL206" s="52"/>
    </row>
    <row r="207" hidden="1">
      <c r="A207" s="92" t="b">
        <v>1</v>
      </c>
      <c r="B207" s="46">
        <v>45957.0</v>
      </c>
      <c r="C207" s="39" t="s">
        <v>150</v>
      </c>
      <c r="D207" s="37" t="s">
        <v>693</v>
      </c>
      <c r="E207" s="37" t="s">
        <v>681</v>
      </c>
      <c r="F207" s="37" t="s">
        <v>44</v>
      </c>
      <c r="G207" s="38">
        <v>690000.0</v>
      </c>
      <c r="H207" s="39" t="s">
        <v>682</v>
      </c>
      <c r="I207" s="39">
        <v>5.0</v>
      </c>
      <c r="J207" s="38">
        <f t="shared" si="80"/>
        <v>34500</v>
      </c>
      <c r="K207" s="38">
        <f t="shared" si="2"/>
        <v>1725</v>
      </c>
      <c r="L207" s="39">
        <v>88.0</v>
      </c>
      <c r="M207" s="38">
        <f t="shared" si="13"/>
        <v>30360</v>
      </c>
      <c r="N207" s="38"/>
      <c r="O207" s="38"/>
      <c r="P207" s="38"/>
      <c r="Q207" s="40">
        <f t="shared" si="69"/>
        <v>4140</v>
      </c>
      <c r="R207" s="49">
        <v>46055.0</v>
      </c>
      <c r="S207" s="49">
        <v>46094.0</v>
      </c>
      <c r="T207" s="47"/>
      <c r="U207" s="39" t="s">
        <v>683</v>
      </c>
      <c r="V207" s="47"/>
      <c r="W207" s="47"/>
      <c r="X207" s="45"/>
      <c r="Y207" s="43"/>
      <c r="Z207" s="43"/>
      <c r="AA207" s="43"/>
      <c r="AB207" s="43"/>
      <c r="AC207" s="43"/>
      <c r="AD207" s="43"/>
      <c r="AE207" s="43"/>
      <c r="AF207" s="43"/>
      <c r="AG207" s="43"/>
      <c r="AH207" s="43"/>
      <c r="AI207" s="43"/>
      <c r="AJ207" s="43"/>
      <c r="AK207" s="43"/>
      <c r="AL207" s="43"/>
    </row>
    <row r="208" hidden="1">
      <c r="A208" s="92" t="b">
        <v>1</v>
      </c>
      <c r="B208" s="46">
        <v>45960.0</v>
      </c>
      <c r="C208" s="39" t="s">
        <v>150</v>
      </c>
      <c r="D208" s="37" t="s">
        <v>694</v>
      </c>
      <c r="E208" s="37" t="s">
        <v>200</v>
      </c>
      <c r="F208" s="38" t="s">
        <v>416</v>
      </c>
      <c r="G208" s="38">
        <v>750000.0</v>
      </c>
      <c r="H208" s="39" t="s">
        <v>695</v>
      </c>
      <c r="I208" s="39">
        <v>5.0</v>
      </c>
      <c r="J208" s="38">
        <f t="shared" si="80"/>
        <v>37500</v>
      </c>
      <c r="K208" s="38">
        <f t="shared" si="2"/>
        <v>1875</v>
      </c>
      <c r="L208" s="39">
        <v>80.0</v>
      </c>
      <c r="M208" s="38">
        <f t="shared" si="13"/>
        <v>30000</v>
      </c>
      <c r="N208" s="38">
        <f>J208*0.09</f>
        <v>3375</v>
      </c>
      <c r="O208" s="38"/>
      <c r="P208" s="38"/>
      <c r="Q208" s="40">
        <f t="shared" si="69"/>
        <v>4125</v>
      </c>
      <c r="R208" s="49">
        <v>46055.0</v>
      </c>
      <c r="S208" s="49">
        <v>46106.0</v>
      </c>
      <c r="T208" s="39"/>
      <c r="U208" s="39" t="s">
        <v>696</v>
      </c>
      <c r="V208" s="47"/>
      <c r="W208" s="47"/>
      <c r="X208" s="45"/>
      <c r="Y208" s="43"/>
      <c r="Z208" s="43"/>
      <c r="AA208" s="43"/>
      <c r="AB208" s="43"/>
      <c r="AC208" s="43"/>
      <c r="AD208" s="43"/>
      <c r="AE208" s="43"/>
      <c r="AF208" s="43"/>
      <c r="AG208" s="43"/>
      <c r="AH208" s="43"/>
      <c r="AI208" s="43"/>
      <c r="AJ208" s="43"/>
      <c r="AK208" s="43"/>
      <c r="AL208" s="43"/>
    </row>
    <row r="209" hidden="1">
      <c r="A209" s="92" t="b">
        <v>1</v>
      </c>
      <c r="B209" s="46">
        <v>45960.0</v>
      </c>
      <c r="C209" s="39" t="s">
        <v>150</v>
      </c>
      <c r="D209" s="37" t="s">
        <v>697</v>
      </c>
      <c r="E209" s="37" t="s">
        <v>698</v>
      </c>
      <c r="F209" s="38"/>
      <c r="G209" s="38">
        <v>1.090546374E7</v>
      </c>
      <c r="H209" s="39" t="s">
        <v>699</v>
      </c>
      <c r="I209" s="39">
        <v>4.0</v>
      </c>
      <c r="J209" s="38">
        <f t="shared" si="80"/>
        <v>436218.5496</v>
      </c>
      <c r="K209" s="38">
        <f t="shared" si="2"/>
        <v>21810.92748</v>
      </c>
      <c r="L209" s="39">
        <v>90.0</v>
      </c>
      <c r="M209" s="38">
        <f t="shared" si="13"/>
        <v>392596.6946</v>
      </c>
      <c r="N209" s="38"/>
      <c r="O209" s="38"/>
      <c r="P209" s="38"/>
      <c r="Q209" s="40">
        <f t="shared" si="69"/>
        <v>43621.85496</v>
      </c>
      <c r="R209" s="49">
        <v>46076.0</v>
      </c>
      <c r="S209" s="49">
        <v>46119.0</v>
      </c>
      <c r="T209" s="47"/>
      <c r="U209" s="39" t="s">
        <v>700</v>
      </c>
      <c r="V209" s="47"/>
      <c r="W209" s="47"/>
      <c r="X209" s="45"/>
      <c r="Y209" s="43"/>
      <c r="Z209" s="43"/>
      <c r="AA209" s="43"/>
      <c r="AB209" s="43"/>
      <c r="AC209" s="43"/>
      <c r="AD209" s="43"/>
      <c r="AE209" s="43"/>
      <c r="AF209" s="43"/>
      <c r="AG209" s="43"/>
      <c r="AH209" s="43"/>
      <c r="AI209" s="43"/>
      <c r="AJ209" s="43"/>
      <c r="AK209" s="43"/>
      <c r="AL209" s="43"/>
    </row>
    <row r="210">
      <c r="A210" s="92" t="b">
        <v>1</v>
      </c>
      <c r="B210" s="96">
        <v>45960.0</v>
      </c>
      <c r="C210" s="50" t="s">
        <v>219</v>
      </c>
      <c r="D210" s="97" t="s">
        <v>651</v>
      </c>
      <c r="E210" s="97" t="s">
        <v>652</v>
      </c>
      <c r="F210" s="97" t="s">
        <v>514</v>
      </c>
      <c r="G210" s="98">
        <v>582300.0</v>
      </c>
      <c r="H210" s="50" t="s">
        <v>701</v>
      </c>
      <c r="I210" s="50">
        <v>4.0</v>
      </c>
      <c r="J210" s="98">
        <f t="shared" si="80"/>
        <v>23292</v>
      </c>
      <c r="K210" s="98">
        <f t="shared" si="2"/>
        <v>1164.6</v>
      </c>
      <c r="L210" s="50">
        <v>80.0</v>
      </c>
      <c r="M210" s="98">
        <f t="shared" si="13"/>
        <v>18633.6</v>
      </c>
      <c r="N210" s="98">
        <f>J210*0.05</f>
        <v>1164.6</v>
      </c>
      <c r="O210" s="98"/>
      <c r="P210" s="98"/>
      <c r="Q210" s="99">
        <f t="shared" si="69"/>
        <v>3493.8</v>
      </c>
      <c r="R210" s="111">
        <v>46066.0</v>
      </c>
      <c r="S210" s="50"/>
      <c r="T210" s="51"/>
      <c r="U210" s="51"/>
      <c r="V210" s="51"/>
      <c r="W210" s="51"/>
      <c r="X210" s="55"/>
      <c r="Y210" s="52"/>
      <c r="Z210" s="52"/>
      <c r="AA210" s="52"/>
      <c r="AB210" s="52"/>
      <c r="AC210" s="52"/>
      <c r="AD210" s="52"/>
      <c r="AE210" s="52"/>
      <c r="AF210" s="52"/>
      <c r="AG210" s="52"/>
      <c r="AH210" s="52"/>
      <c r="AI210" s="52"/>
      <c r="AJ210" s="52"/>
      <c r="AK210" s="52"/>
      <c r="AL210" s="52"/>
    </row>
    <row r="211">
      <c r="A211" s="92" t="b">
        <v>1</v>
      </c>
      <c r="B211" s="96">
        <v>45961.0</v>
      </c>
      <c r="C211" s="50" t="s">
        <v>150</v>
      </c>
      <c r="D211" s="97" t="s">
        <v>702</v>
      </c>
      <c r="E211" s="97" t="s">
        <v>685</v>
      </c>
      <c r="F211" s="97"/>
      <c r="G211" s="98">
        <v>3559680.0</v>
      </c>
      <c r="H211" s="50" t="s">
        <v>688</v>
      </c>
      <c r="I211" s="50">
        <v>6.0</v>
      </c>
      <c r="J211" s="98">
        <f t="shared" si="80"/>
        <v>213580.8</v>
      </c>
      <c r="K211" s="98">
        <f t="shared" si="2"/>
        <v>10679.04</v>
      </c>
      <c r="L211" s="50">
        <v>88.0</v>
      </c>
      <c r="M211" s="98">
        <f t="shared" si="13"/>
        <v>187951.104</v>
      </c>
      <c r="N211" s="98"/>
      <c r="O211" s="98"/>
      <c r="P211" s="98"/>
      <c r="Q211" s="99">
        <f t="shared" si="69"/>
        <v>25629.696</v>
      </c>
      <c r="R211" s="112">
        <v>46015.0</v>
      </c>
      <c r="S211" s="50"/>
      <c r="T211" s="51"/>
      <c r="U211" s="51"/>
      <c r="V211" s="51"/>
      <c r="W211" s="51"/>
      <c r="X211" s="55"/>
      <c r="Y211" s="52"/>
      <c r="Z211" s="52"/>
      <c r="AA211" s="52"/>
      <c r="AB211" s="52"/>
      <c r="AC211" s="52"/>
      <c r="AD211" s="52"/>
      <c r="AE211" s="52"/>
      <c r="AF211" s="52"/>
      <c r="AG211" s="52"/>
      <c r="AH211" s="52"/>
      <c r="AI211" s="52"/>
      <c r="AJ211" s="52"/>
      <c r="AK211" s="52"/>
      <c r="AL211" s="52"/>
    </row>
    <row r="212">
      <c r="A212" s="92" t="b">
        <v>0</v>
      </c>
      <c r="B212" s="96">
        <v>45963.0</v>
      </c>
      <c r="C212" s="50" t="s">
        <v>157</v>
      </c>
      <c r="D212" s="97" t="s">
        <v>703</v>
      </c>
      <c r="E212" s="97" t="s">
        <v>408</v>
      </c>
      <c r="F212" s="97" t="s">
        <v>157</v>
      </c>
      <c r="G212" s="98">
        <v>1.08219E7</v>
      </c>
      <c r="H212" s="50" t="s">
        <v>659</v>
      </c>
      <c r="I212" s="50">
        <v>4.0</v>
      </c>
      <c r="J212" s="98">
        <f t="shared" si="80"/>
        <v>432876</v>
      </c>
      <c r="K212" s="98">
        <f t="shared" si="2"/>
        <v>21643.8</v>
      </c>
      <c r="L212" s="50">
        <v>90.0</v>
      </c>
      <c r="M212" s="98">
        <f t="shared" si="13"/>
        <v>389588.4</v>
      </c>
      <c r="N212" s="98"/>
      <c r="O212" s="98"/>
      <c r="P212" s="98"/>
      <c r="Q212" s="99">
        <f t="shared" si="69"/>
        <v>43287.6</v>
      </c>
      <c r="R212" s="112">
        <v>45983.0</v>
      </c>
      <c r="S212" s="50"/>
      <c r="T212" s="50" t="s">
        <v>704</v>
      </c>
      <c r="U212" s="51"/>
      <c r="V212" s="51"/>
      <c r="W212" s="51"/>
      <c r="X212" s="55"/>
      <c r="Y212" s="52"/>
      <c r="Z212" s="52"/>
      <c r="AA212" s="52"/>
      <c r="AB212" s="52"/>
      <c r="AC212" s="52"/>
      <c r="AD212" s="52"/>
      <c r="AE212" s="52"/>
      <c r="AF212" s="52"/>
      <c r="AG212" s="52"/>
      <c r="AH212" s="52"/>
      <c r="AI212" s="52"/>
      <c r="AJ212" s="52"/>
      <c r="AK212" s="52"/>
      <c r="AL212" s="52"/>
    </row>
    <row r="213" hidden="1">
      <c r="A213" s="92" t="b">
        <v>0</v>
      </c>
      <c r="B213" s="46">
        <v>45964.0</v>
      </c>
      <c r="C213" s="39" t="s">
        <v>150</v>
      </c>
      <c r="D213" s="37" t="s">
        <v>705</v>
      </c>
      <c r="E213" s="37" t="s">
        <v>200</v>
      </c>
      <c r="F213" s="37" t="s">
        <v>706</v>
      </c>
      <c r="G213" s="38">
        <v>1752426.0</v>
      </c>
      <c r="H213" s="39" t="s">
        <v>707</v>
      </c>
      <c r="I213" s="39">
        <v>4.0</v>
      </c>
      <c r="J213" s="38">
        <f t="shared" si="80"/>
        <v>70097.04</v>
      </c>
      <c r="K213" s="38">
        <f t="shared" si="2"/>
        <v>3504.852</v>
      </c>
      <c r="L213" s="39">
        <v>80.0</v>
      </c>
      <c r="M213" s="38">
        <f t="shared" si="13"/>
        <v>56077.632</v>
      </c>
      <c r="N213" s="38">
        <f>J213*0.09</f>
        <v>6308.7336</v>
      </c>
      <c r="O213" s="38"/>
      <c r="P213" s="38"/>
      <c r="Q213" s="40">
        <f t="shared" si="69"/>
        <v>7710.6744</v>
      </c>
      <c r="R213" s="49">
        <v>45999.0</v>
      </c>
      <c r="S213" s="49">
        <v>46050.0</v>
      </c>
      <c r="T213" s="47"/>
      <c r="U213" s="47"/>
      <c r="V213" s="47"/>
      <c r="W213" s="47"/>
      <c r="X213" s="45"/>
      <c r="Y213" s="43"/>
      <c r="Z213" s="43"/>
      <c r="AA213" s="43"/>
      <c r="AB213" s="43"/>
      <c r="AC213" s="43"/>
      <c r="AD213" s="43"/>
      <c r="AE213" s="43"/>
      <c r="AF213" s="43"/>
      <c r="AG213" s="43"/>
      <c r="AH213" s="43"/>
      <c r="AI213" s="43"/>
      <c r="AJ213" s="43"/>
      <c r="AK213" s="43"/>
      <c r="AL213" s="43"/>
    </row>
    <row r="214">
      <c r="A214" s="92" t="b">
        <v>1</v>
      </c>
      <c r="B214" s="96">
        <v>45964.0</v>
      </c>
      <c r="C214" s="50" t="s">
        <v>219</v>
      </c>
      <c r="D214" s="97" t="s">
        <v>708</v>
      </c>
      <c r="E214" s="97" t="s">
        <v>691</v>
      </c>
      <c r="F214" s="97" t="s">
        <v>514</v>
      </c>
      <c r="G214" s="98">
        <v>4485400.0</v>
      </c>
      <c r="H214" s="50" t="s">
        <v>659</v>
      </c>
      <c r="I214" s="50">
        <v>4.0</v>
      </c>
      <c r="J214" s="98">
        <f>(G214*I214)/105</f>
        <v>170872.381</v>
      </c>
      <c r="K214" s="98">
        <f t="shared" si="2"/>
        <v>8543.619048</v>
      </c>
      <c r="L214" s="50">
        <v>50.0</v>
      </c>
      <c r="M214" s="98">
        <f t="shared" si="13"/>
        <v>85436.19048</v>
      </c>
      <c r="N214" s="98">
        <f>J214*0.05</f>
        <v>8543.619048</v>
      </c>
      <c r="O214" s="98"/>
      <c r="P214" s="98"/>
      <c r="Q214" s="99">
        <f t="shared" si="69"/>
        <v>76892.57143</v>
      </c>
      <c r="R214" s="112">
        <v>45985.0</v>
      </c>
      <c r="S214" s="50"/>
      <c r="T214" s="50" t="s">
        <v>709</v>
      </c>
      <c r="U214" s="51"/>
      <c r="V214" s="51"/>
      <c r="W214" s="51"/>
      <c r="X214" s="55"/>
      <c r="Y214" s="52"/>
      <c r="Z214" s="52"/>
      <c r="AA214" s="52"/>
      <c r="AB214" s="52"/>
      <c r="AC214" s="52"/>
      <c r="AD214" s="52"/>
      <c r="AE214" s="52"/>
      <c r="AF214" s="52"/>
      <c r="AG214" s="52"/>
      <c r="AH214" s="52"/>
      <c r="AI214" s="52"/>
      <c r="AJ214" s="52"/>
      <c r="AK214" s="52"/>
      <c r="AL214" s="52"/>
    </row>
    <row r="215" hidden="1">
      <c r="A215" s="92" t="b">
        <v>0</v>
      </c>
      <c r="B215" s="46">
        <v>45967.0</v>
      </c>
      <c r="C215" s="39" t="s">
        <v>150</v>
      </c>
      <c r="D215" s="37" t="s">
        <v>710</v>
      </c>
      <c r="E215" s="37" t="s">
        <v>711</v>
      </c>
      <c r="F215" s="37" t="s">
        <v>343</v>
      </c>
      <c r="G215" s="38">
        <v>789249.18</v>
      </c>
      <c r="H215" s="39" t="s">
        <v>223</v>
      </c>
      <c r="I215" s="39">
        <v>4.0</v>
      </c>
      <c r="J215" s="38">
        <f t="shared" ref="J215:J278" si="82">(G215*I215)/100</f>
        <v>31569.9672</v>
      </c>
      <c r="K215" s="38">
        <f t="shared" si="2"/>
        <v>1578.49836</v>
      </c>
      <c r="L215" s="39">
        <v>88.0</v>
      </c>
      <c r="M215" s="38">
        <f t="shared" si="13"/>
        <v>27781.57114</v>
      </c>
      <c r="N215" s="38">
        <f t="shared" ref="N215:N217" si="83">J215*0.01</f>
        <v>315.699672</v>
      </c>
      <c r="O215" s="38"/>
      <c r="P215" s="38"/>
      <c r="Q215" s="40">
        <f t="shared" si="69"/>
        <v>3472.696392</v>
      </c>
      <c r="R215" s="49">
        <v>45968.0</v>
      </c>
      <c r="S215" s="49">
        <v>45995.0</v>
      </c>
      <c r="T215" s="47"/>
      <c r="U215" s="47"/>
      <c r="V215" s="47"/>
      <c r="W215" s="47"/>
      <c r="X215" s="45"/>
      <c r="Y215" s="43"/>
      <c r="Z215" s="52"/>
      <c r="AA215" s="52"/>
      <c r="AB215" s="52"/>
      <c r="AC215" s="52"/>
      <c r="AD215" s="52"/>
      <c r="AE215" s="52"/>
      <c r="AF215" s="52"/>
      <c r="AG215" s="52"/>
      <c r="AH215" s="52"/>
      <c r="AI215" s="52"/>
      <c r="AJ215" s="52"/>
      <c r="AK215" s="52"/>
      <c r="AL215" s="52"/>
    </row>
    <row r="216" hidden="1">
      <c r="A216" s="92" t="b">
        <v>0</v>
      </c>
      <c r="B216" s="46">
        <v>45968.0</v>
      </c>
      <c r="C216" s="39" t="s">
        <v>150</v>
      </c>
      <c r="D216" s="37" t="s">
        <v>712</v>
      </c>
      <c r="E216" s="37" t="s">
        <v>559</v>
      </c>
      <c r="F216" s="37" t="s">
        <v>173</v>
      </c>
      <c r="G216" s="38">
        <v>5141000.0</v>
      </c>
      <c r="H216" s="39" t="s">
        <v>556</v>
      </c>
      <c r="I216" s="39">
        <v>5.0</v>
      </c>
      <c r="J216" s="38">
        <f t="shared" si="82"/>
        <v>257050</v>
      </c>
      <c r="K216" s="38">
        <f t="shared" si="2"/>
        <v>12852.5</v>
      </c>
      <c r="L216" s="39">
        <v>90.0</v>
      </c>
      <c r="M216" s="38">
        <f t="shared" si="13"/>
        <v>231345</v>
      </c>
      <c r="N216" s="38">
        <f t="shared" si="83"/>
        <v>2570.5</v>
      </c>
      <c r="O216" s="38"/>
      <c r="P216" s="38"/>
      <c r="Q216" s="40">
        <f t="shared" si="69"/>
        <v>23134.5</v>
      </c>
      <c r="R216" s="49">
        <v>46014.0</v>
      </c>
      <c r="S216" s="49">
        <v>46059.0</v>
      </c>
      <c r="T216" s="47"/>
      <c r="U216" s="47"/>
      <c r="V216" s="47"/>
      <c r="W216" s="47"/>
      <c r="X216" s="45"/>
      <c r="Y216" s="43"/>
      <c r="Z216" s="43"/>
      <c r="AA216" s="43"/>
      <c r="AB216" s="43"/>
      <c r="AC216" s="43"/>
      <c r="AD216" s="43"/>
      <c r="AE216" s="43"/>
      <c r="AF216" s="43"/>
      <c r="AG216" s="43"/>
      <c r="AH216" s="43"/>
      <c r="AI216" s="43"/>
      <c r="AJ216" s="43"/>
      <c r="AK216" s="43"/>
      <c r="AL216" s="43"/>
    </row>
    <row r="217">
      <c r="A217" s="92" t="b">
        <v>1</v>
      </c>
      <c r="B217" s="96">
        <v>45971.0</v>
      </c>
      <c r="C217" s="50" t="s">
        <v>150</v>
      </c>
      <c r="D217" s="97" t="s">
        <v>713</v>
      </c>
      <c r="E217" s="97" t="s">
        <v>714</v>
      </c>
      <c r="F217" s="97" t="s">
        <v>715</v>
      </c>
      <c r="G217" s="98">
        <v>1447000.0</v>
      </c>
      <c r="H217" s="50" t="s">
        <v>716</v>
      </c>
      <c r="I217" s="50">
        <v>5.0</v>
      </c>
      <c r="J217" s="98">
        <f t="shared" si="82"/>
        <v>72350</v>
      </c>
      <c r="K217" s="98">
        <f t="shared" si="2"/>
        <v>3617.5</v>
      </c>
      <c r="L217" s="50">
        <v>88.0</v>
      </c>
      <c r="M217" s="98">
        <f t="shared" si="13"/>
        <v>63668</v>
      </c>
      <c r="N217" s="98">
        <f t="shared" si="83"/>
        <v>723.5</v>
      </c>
      <c r="O217" s="98"/>
      <c r="P217" s="98"/>
      <c r="Q217" s="99">
        <f t="shared" si="69"/>
        <v>7958.5</v>
      </c>
      <c r="R217" s="112">
        <v>45987.0</v>
      </c>
      <c r="S217" s="50"/>
      <c r="T217" s="50" t="s">
        <v>717</v>
      </c>
      <c r="U217" s="51"/>
      <c r="V217" s="51"/>
      <c r="W217" s="51"/>
      <c r="X217" s="55"/>
      <c r="Y217" s="52"/>
      <c r="Z217" s="43"/>
      <c r="AA217" s="43"/>
      <c r="AB217" s="43"/>
      <c r="AC217" s="43"/>
      <c r="AD217" s="43"/>
      <c r="AE217" s="43"/>
      <c r="AF217" s="43"/>
      <c r="AG217" s="43"/>
      <c r="AH217" s="43"/>
      <c r="AI217" s="43"/>
      <c r="AJ217" s="43"/>
      <c r="AK217" s="43"/>
      <c r="AL217" s="43"/>
    </row>
    <row r="218">
      <c r="A218" s="92" t="b">
        <v>1</v>
      </c>
      <c r="B218" s="96">
        <v>45980.0</v>
      </c>
      <c r="C218" s="50" t="s">
        <v>150</v>
      </c>
      <c r="D218" s="97" t="s">
        <v>718</v>
      </c>
      <c r="E218" s="97" t="s">
        <v>719</v>
      </c>
      <c r="F218" s="97"/>
      <c r="G218" s="98">
        <v>1744200.0</v>
      </c>
      <c r="H218" s="50" t="s">
        <v>720</v>
      </c>
      <c r="I218" s="50">
        <v>7.0</v>
      </c>
      <c r="J218" s="98">
        <f t="shared" si="82"/>
        <v>122094</v>
      </c>
      <c r="K218" s="98">
        <f t="shared" si="2"/>
        <v>6104.7</v>
      </c>
      <c r="L218" s="50">
        <v>90.0</v>
      </c>
      <c r="M218" s="98">
        <f t="shared" si="13"/>
        <v>109884.6</v>
      </c>
      <c r="N218" s="98"/>
      <c r="O218" s="98"/>
      <c r="P218" s="98"/>
      <c r="Q218" s="99">
        <f t="shared" si="69"/>
        <v>12209.4</v>
      </c>
      <c r="R218" s="112">
        <v>46045.0</v>
      </c>
      <c r="S218" s="50"/>
      <c r="T218" s="50" t="s">
        <v>721</v>
      </c>
      <c r="U218" s="51"/>
      <c r="V218" s="51"/>
      <c r="W218" s="51"/>
      <c r="X218" s="55"/>
      <c r="Y218" s="52"/>
      <c r="Z218" s="52"/>
      <c r="AA218" s="52"/>
      <c r="AB218" s="52"/>
      <c r="AC218" s="52"/>
      <c r="AD218" s="52"/>
      <c r="AE218" s="52"/>
      <c r="AF218" s="52"/>
      <c r="AG218" s="52"/>
      <c r="AH218" s="52"/>
      <c r="AI218" s="52"/>
      <c r="AJ218" s="52"/>
      <c r="AK218" s="52"/>
      <c r="AL218" s="52"/>
    </row>
    <row r="219" hidden="1">
      <c r="A219" s="92" t="b">
        <v>0</v>
      </c>
      <c r="B219" s="46">
        <v>45985.0</v>
      </c>
      <c r="C219" s="39" t="s">
        <v>150</v>
      </c>
      <c r="D219" s="37" t="s">
        <v>722</v>
      </c>
      <c r="E219" s="37" t="s">
        <v>200</v>
      </c>
      <c r="F219" s="37" t="s">
        <v>723</v>
      </c>
      <c r="G219" s="38">
        <v>827800.0</v>
      </c>
      <c r="H219" s="39" t="s">
        <v>724</v>
      </c>
      <c r="I219" s="39">
        <v>6.0</v>
      </c>
      <c r="J219" s="38">
        <f t="shared" si="82"/>
        <v>49668</v>
      </c>
      <c r="K219" s="38">
        <f t="shared" si="2"/>
        <v>2483.4</v>
      </c>
      <c r="L219" s="39">
        <v>80.0</v>
      </c>
      <c r="M219" s="38">
        <f t="shared" si="13"/>
        <v>39734.4</v>
      </c>
      <c r="N219" s="38">
        <f>J219*0.08</f>
        <v>3973.44</v>
      </c>
      <c r="O219" s="38"/>
      <c r="P219" s="38"/>
      <c r="Q219" s="40">
        <f t="shared" si="69"/>
        <v>5960.16</v>
      </c>
      <c r="R219" s="49">
        <v>46027.0</v>
      </c>
      <c r="S219" s="49">
        <v>46048.0</v>
      </c>
      <c r="T219" s="47"/>
      <c r="U219" s="47"/>
      <c r="V219" s="47"/>
      <c r="W219" s="47"/>
      <c r="X219" s="45"/>
      <c r="Y219" s="43"/>
      <c r="Z219" s="52"/>
      <c r="AA219" s="52"/>
      <c r="AB219" s="52"/>
      <c r="AC219" s="52"/>
      <c r="AD219" s="52"/>
      <c r="AE219" s="52"/>
      <c r="AF219" s="52"/>
      <c r="AG219" s="52"/>
      <c r="AH219" s="52"/>
      <c r="AI219" s="52"/>
      <c r="AJ219" s="52"/>
      <c r="AK219" s="52"/>
      <c r="AL219" s="52"/>
    </row>
    <row r="220" hidden="1">
      <c r="A220" s="92" t="b">
        <v>1</v>
      </c>
      <c r="B220" s="46">
        <v>45988.0</v>
      </c>
      <c r="C220" s="39" t="s">
        <v>150</v>
      </c>
      <c r="D220" s="37" t="s">
        <v>725</v>
      </c>
      <c r="E220" s="37" t="s">
        <v>726</v>
      </c>
      <c r="F220" s="37" t="s">
        <v>727</v>
      </c>
      <c r="G220" s="38">
        <v>1124752.0</v>
      </c>
      <c r="H220" s="39" t="s">
        <v>171</v>
      </c>
      <c r="I220" s="39">
        <v>5.0</v>
      </c>
      <c r="J220" s="38">
        <f t="shared" si="82"/>
        <v>56237.6</v>
      </c>
      <c r="K220" s="38">
        <f t="shared" si="2"/>
        <v>2811.88</v>
      </c>
      <c r="L220" s="39">
        <v>76.0</v>
      </c>
      <c r="M220" s="38">
        <f t="shared" si="13"/>
        <v>42740.576</v>
      </c>
      <c r="N220" s="38">
        <f>J220*0.12</f>
        <v>6748.512</v>
      </c>
      <c r="O220" s="38"/>
      <c r="P220" s="38"/>
      <c r="Q220" s="40">
        <f t="shared" si="69"/>
        <v>6748.512</v>
      </c>
      <c r="R220" s="49">
        <v>46029.0</v>
      </c>
      <c r="S220" s="49">
        <v>46106.0</v>
      </c>
      <c r="T220" s="39" t="s">
        <v>728</v>
      </c>
      <c r="U220" s="47"/>
      <c r="V220" s="47"/>
      <c r="W220" s="47"/>
      <c r="X220" s="45"/>
      <c r="Y220" s="43"/>
      <c r="Z220" s="43"/>
      <c r="AA220" s="43"/>
      <c r="AB220" s="43"/>
      <c r="AC220" s="43"/>
      <c r="AD220" s="43"/>
      <c r="AE220" s="43"/>
      <c r="AF220" s="43"/>
      <c r="AG220" s="43"/>
      <c r="AH220" s="43"/>
      <c r="AI220" s="43"/>
      <c r="AJ220" s="43"/>
      <c r="AK220" s="43"/>
      <c r="AL220" s="43"/>
    </row>
    <row r="221">
      <c r="A221" s="92" t="b">
        <v>1</v>
      </c>
      <c r="B221" s="96">
        <v>45988.0</v>
      </c>
      <c r="C221" s="50" t="s">
        <v>157</v>
      </c>
      <c r="D221" s="97" t="s">
        <v>729</v>
      </c>
      <c r="E221" s="97" t="s">
        <v>730</v>
      </c>
      <c r="F221" s="97" t="s">
        <v>514</v>
      </c>
      <c r="G221" s="98">
        <v>1991215.0</v>
      </c>
      <c r="H221" s="50" t="s">
        <v>659</v>
      </c>
      <c r="I221" s="50">
        <v>4.0</v>
      </c>
      <c r="J221" s="98">
        <f t="shared" si="82"/>
        <v>79648.6</v>
      </c>
      <c r="K221" s="98">
        <f t="shared" si="2"/>
        <v>3982.43</v>
      </c>
      <c r="L221" s="50">
        <v>86.0</v>
      </c>
      <c r="M221" s="98">
        <f t="shared" si="13"/>
        <v>68497.796</v>
      </c>
      <c r="N221" s="98">
        <f>J221*0.02</f>
        <v>1592.972</v>
      </c>
      <c r="O221" s="98"/>
      <c r="P221" s="98"/>
      <c r="Q221" s="99">
        <f t="shared" si="69"/>
        <v>9557.832</v>
      </c>
      <c r="R221" s="112">
        <v>46018.0</v>
      </c>
      <c r="S221" s="50"/>
      <c r="T221" s="50" t="s">
        <v>731</v>
      </c>
      <c r="U221" s="51"/>
      <c r="V221" s="51"/>
      <c r="W221" s="51"/>
      <c r="X221" s="55"/>
      <c r="Y221" s="52"/>
      <c r="Z221" s="52"/>
      <c r="AA221" s="52"/>
      <c r="AB221" s="52"/>
      <c r="AC221" s="52"/>
      <c r="AD221" s="52"/>
      <c r="AE221" s="52"/>
      <c r="AF221" s="52"/>
      <c r="AG221" s="52"/>
      <c r="AH221" s="52"/>
      <c r="AI221" s="52"/>
      <c r="AJ221" s="52"/>
      <c r="AK221" s="52"/>
      <c r="AL221" s="52"/>
    </row>
    <row r="222" hidden="1">
      <c r="A222" s="92" t="b">
        <v>0</v>
      </c>
      <c r="B222" s="46">
        <v>45989.0</v>
      </c>
      <c r="C222" s="39" t="s">
        <v>150</v>
      </c>
      <c r="D222" s="37" t="s">
        <v>732</v>
      </c>
      <c r="E222" s="37" t="s">
        <v>733</v>
      </c>
      <c r="F222" s="37"/>
      <c r="G222" s="38">
        <v>5027000.0</v>
      </c>
      <c r="H222" s="39" t="s">
        <v>734</v>
      </c>
      <c r="I222" s="39">
        <v>5.0</v>
      </c>
      <c r="J222" s="38">
        <f t="shared" si="82"/>
        <v>251350</v>
      </c>
      <c r="K222" s="38">
        <f t="shared" si="2"/>
        <v>12567.5</v>
      </c>
      <c r="L222" s="39">
        <v>90.0</v>
      </c>
      <c r="M222" s="38">
        <f t="shared" si="13"/>
        <v>226215</v>
      </c>
      <c r="N222" s="38"/>
      <c r="O222" s="38"/>
      <c r="P222" s="38"/>
      <c r="Q222" s="40">
        <f t="shared" si="69"/>
        <v>25135</v>
      </c>
      <c r="R222" s="49">
        <v>46048.0</v>
      </c>
      <c r="S222" s="49">
        <v>45691.0</v>
      </c>
      <c r="T222" s="47"/>
      <c r="U222" s="47"/>
      <c r="V222" s="47"/>
      <c r="W222" s="47"/>
      <c r="X222" s="45"/>
      <c r="Y222" s="43"/>
      <c r="Z222" s="52"/>
      <c r="AA222" s="52"/>
      <c r="AB222" s="52"/>
      <c r="AC222" s="52"/>
      <c r="AD222" s="52"/>
      <c r="AE222" s="52"/>
      <c r="AF222" s="52"/>
      <c r="AG222" s="52"/>
      <c r="AH222" s="52"/>
      <c r="AI222" s="52"/>
      <c r="AJ222" s="52"/>
      <c r="AK222" s="52"/>
      <c r="AL222" s="52"/>
    </row>
    <row r="223" hidden="1">
      <c r="A223" s="92" t="b">
        <v>1</v>
      </c>
      <c r="B223" s="46">
        <v>45991.0</v>
      </c>
      <c r="C223" s="39" t="s">
        <v>150</v>
      </c>
      <c r="D223" s="37" t="s">
        <v>735</v>
      </c>
      <c r="E223" s="37" t="s">
        <v>681</v>
      </c>
      <c r="F223" s="37" t="s">
        <v>44</v>
      </c>
      <c r="G223" s="38">
        <v>2821055.0</v>
      </c>
      <c r="H223" s="39" t="s">
        <v>682</v>
      </c>
      <c r="I223" s="39">
        <v>5.0</v>
      </c>
      <c r="J223" s="38">
        <f t="shared" si="82"/>
        <v>141052.75</v>
      </c>
      <c r="K223" s="38">
        <f t="shared" si="2"/>
        <v>7052.6375</v>
      </c>
      <c r="L223" s="39">
        <v>88.0</v>
      </c>
      <c r="M223" s="38">
        <f t="shared" si="13"/>
        <v>124126.42</v>
      </c>
      <c r="N223" s="38"/>
      <c r="O223" s="38"/>
      <c r="P223" s="38"/>
      <c r="Q223" s="40">
        <f t="shared" si="69"/>
        <v>16926.33</v>
      </c>
      <c r="R223" s="49">
        <v>46055.0</v>
      </c>
      <c r="S223" s="49">
        <v>46095.0</v>
      </c>
      <c r="T223" s="39" t="s">
        <v>736</v>
      </c>
      <c r="U223" s="39" t="s">
        <v>683</v>
      </c>
      <c r="V223" s="47"/>
      <c r="W223" s="47"/>
      <c r="X223" s="45"/>
      <c r="Y223" s="43"/>
      <c r="Z223" s="43"/>
      <c r="AA223" s="43"/>
      <c r="AB223" s="43"/>
      <c r="AC223" s="43"/>
      <c r="AD223" s="43"/>
      <c r="AE223" s="43"/>
      <c r="AF223" s="43"/>
      <c r="AG223" s="43"/>
      <c r="AH223" s="43"/>
      <c r="AI223" s="43"/>
      <c r="AJ223" s="43"/>
      <c r="AK223" s="43"/>
      <c r="AL223" s="43"/>
    </row>
    <row r="224" hidden="1">
      <c r="A224" s="92" t="b">
        <v>0</v>
      </c>
      <c r="B224" s="46">
        <v>45993.0</v>
      </c>
      <c r="C224" s="39" t="s">
        <v>219</v>
      </c>
      <c r="D224" s="37" t="s">
        <v>737</v>
      </c>
      <c r="E224" s="37" t="s">
        <v>570</v>
      </c>
      <c r="F224" s="37" t="s">
        <v>514</v>
      </c>
      <c r="G224" s="38">
        <v>704470.0</v>
      </c>
      <c r="H224" s="39" t="s">
        <v>738</v>
      </c>
      <c r="I224" s="39">
        <v>5.0</v>
      </c>
      <c r="J224" s="38">
        <f t="shared" si="82"/>
        <v>35223.5</v>
      </c>
      <c r="K224" s="38">
        <f t="shared" si="2"/>
        <v>1761.175</v>
      </c>
      <c r="L224" s="39">
        <v>50.0</v>
      </c>
      <c r="M224" s="38">
        <f t="shared" si="13"/>
        <v>17611.75</v>
      </c>
      <c r="N224" s="38">
        <f>J224*0.05</f>
        <v>1761.175</v>
      </c>
      <c r="O224" s="38"/>
      <c r="P224" s="38"/>
      <c r="Q224" s="40">
        <f t="shared" si="69"/>
        <v>15850.575</v>
      </c>
      <c r="R224" s="35">
        <v>46020.0</v>
      </c>
      <c r="S224" s="49">
        <v>46080.0</v>
      </c>
      <c r="T224" s="47"/>
      <c r="U224" s="47"/>
      <c r="V224" s="47"/>
      <c r="W224" s="47"/>
      <c r="X224" s="45"/>
      <c r="Y224" s="43"/>
      <c r="Z224" s="43"/>
      <c r="AA224" s="43"/>
      <c r="AB224" s="43"/>
      <c r="AC224" s="43"/>
      <c r="AD224" s="43"/>
      <c r="AE224" s="43"/>
      <c r="AF224" s="43"/>
      <c r="AG224" s="43"/>
      <c r="AH224" s="43"/>
      <c r="AI224" s="43"/>
      <c r="AJ224" s="43"/>
      <c r="AK224" s="43"/>
      <c r="AL224" s="43"/>
    </row>
    <row r="225">
      <c r="A225" s="92" t="b">
        <v>1</v>
      </c>
      <c r="B225" s="113">
        <v>45996.0</v>
      </c>
      <c r="C225" s="18" t="s">
        <v>150</v>
      </c>
      <c r="D225" s="17" t="s">
        <v>739</v>
      </c>
      <c r="E225" s="17" t="s">
        <v>200</v>
      </c>
      <c r="F225" s="17" t="s">
        <v>740</v>
      </c>
      <c r="G225" s="109">
        <v>1940000.0</v>
      </c>
      <c r="H225" s="18" t="s">
        <v>194</v>
      </c>
      <c r="I225" s="18">
        <v>5.0</v>
      </c>
      <c r="J225" s="109">
        <f t="shared" si="82"/>
        <v>97000</v>
      </c>
      <c r="K225" s="109">
        <f t="shared" si="2"/>
        <v>4850</v>
      </c>
      <c r="L225" s="18">
        <v>80.0</v>
      </c>
      <c r="M225" s="109">
        <f t="shared" si="13"/>
        <v>77600</v>
      </c>
      <c r="N225" s="109">
        <f>J225*0.08</f>
        <v>7760</v>
      </c>
      <c r="O225" s="109"/>
      <c r="P225" s="109"/>
      <c r="Q225" s="110">
        <f t="shared" si="69"/>
        <v>11640</v>
      </c>
      <c r="R225" s="18"/>
      <c r="S225" s="18"/>
      <c r="T225" s="114"/>
      <c r="U225" s="114"/>
      <c r="V225" s="114"/>
      <c r="W225" s="114"/>
      <c r="X225" s="4"/>
      <c r="Y225" s="8"/>
      <c r="Z225" s="8"/>
      <c r="AA225" s="8"/>
      <c r="AB225" s="8"/>
      <c r="AC225" s="8"/>
      <c r="AD225" s="8"/>
      <c r="AE225" s="8"/>
      <c r="AF225" s="8"/>
      <c r="AG225" s="8"/>
      <c r="AH225" s="8"/>
      <c r="AI225" s="8"/>
      <c r="AJ225" s="8"/>
      <c r="AK225" s="8"/>
      <c r="AL225" s="8"/>
    </row>
    <row r="226" hidden="1">
      <c r="A226" s="92" t="b">
        <v>0</v>
      </c>
      <c r="B226" s="46">
        <v>45998.0</v>
      </c>
      <c r="C226" s="39" t="s">
        <v>150</v>
      </c>
      <c r="D226" s="37" t="s">
        <v>741</v>
      </c>
      <c r="E226" s="37" t="s">
        <v>237</v>
      </c>
      <c r="F226" s="37"/>
      <c r="G226" s="38">
        <v>788738.49</v>
      </c>
      <c r="H226" s="39" t="s">
        <v>609</v>
      </c>
      <c r="I226" s="39">
        <v>6.0</v>
      </c>
      <c r="J226" s="38">
        <f t="shared" si="82"/>
        <v>47324.3094</v>
      </c>
      <c r="K226" s="38">
        <f t="shared" si="2"/>
        <v>2366.21547</v>
      </c>
      <c r="L226" s="39">
        <v>90.0</v>
      </c>
      <c r="M226" s="38">
        <f t="shared" si="13"/>
        <v>42591.87846</v>
      </c>
      <c r="N226" s="38"/>
      <c r="O226" s="38"/>
      <c r="P226" s="38"/>
      <c r="Q226" s="40">
        <f t="shared" si="69"/>
        <v>4732.43094</v>
      </c>
      <c r="R226" s="35">
        <v>46001.0</v>
      </c>
      <c r="S226" s="35">
        <v>46017.0</v>
      </c>
      <c r="T226" s="39" t="s">
        <v>742</v>
      </c>
      <c r="U226" s="47"/>
      <c r="V226" s="47"/>
      <c r="W226" s="47"/>
      <c r="X226" s="45"/>
      <c r="Y226" s="43"/>
      <c r="Z226" s="43"/>
      <c r="AA226" s="43"/>
      <c r="AB226" s="43"/>
      <c r="AC226" s="43"/>
      <c r="AD226" s="43"/>
      <c r="AE226" s="43"/>
      <c r="AF226" s="43"/>
      <c r="AG226" s="43"/>
      <c r="AH226" s="43"/>
      <c r="AI226" s="43"/>
      <c r="AJ226" s="43"/>
      <c r="AK226" s="43"/>
      <c r="AL226" s="43"/>
    </row>
    <row r="227" hidden="1">
      <c r="A227" s="92" t="b">
        <v>0</v>
      </c>
      <c r="B227" s="46">
        <v>45998.0</v>
      </c>
      <c r="C227" s="39" t="s">
        <v>150</v>
      </c>
      <c r="D227" s="37" t="s">
        <v>741</v>
      </c>
      <c r="E227" s="37" t="s">
        <v>237</v>
      </c>
      <c r="F227" s="37"/>
      <c r="G227" s="38">
        <v>809555.88</v>
      </c>
      <c r="H227" s="39" t="s">
        <v>609</v>
      </c>
      <c r="I227" s="39">
        <v>6.0</v>
      </c>
      <c r="J227" s="38">
        <f t="shared" si="82"/>
        <v>48573.3528</v>
      </c>
      <c r="K227" s="38">
        <f t="shared" si="2"/>
        <v>2428.66764</v>
      </c>
      <c r="L227" s="39">
        <v>90.0</v>
      </c>
      <c r="M227" s="38">
        <f t="shared" si="13"/>
        <v>43716.01752</v>
      </c>
      <c r="N227" s="38"/>
      <c r="O227" s="38"/>
      <c r="P227" s="38"/>
      <c r="Q227" s="40">
        <f t="shared" si="69"/>
        <v>4857.33528</v>
      </c>
      <c r="R227" s="35">
        <v>46001.0</v>
      </c>
      <c r="S227" s="35">
        <v>46017.0</v>
      </c>
      <c r="T227" s="39" t="s">
        <v>742</v>
      </c>
      <c r="U227" s="47"/>
      <c r="V227" s="47"/>
      <c r="W227" s="47"/>
      <c r="X227" s="45"/>
      <c r="Y227" s="43"/>
      <c r="Z227" s="43"/>
      <c r="AA227" s="43"/>
      <c r="AB227" s="43"/>
      <c r="AC227" s="43"/>
      <c r="AD227" s="43"/>
      <c r="AE227" s="43"/>
      <c r="AF227" s="43"/>
      <c r="AG227" s="43"/>
      <c r="AH227" s="43"/>
      <c r="AI227" s="43"/>
      <c r="AJ227" s="43"/>
      <c r="AK227" s="43"/>
      <c r="AL227" s="43"/>
    </row>
    <row r="228">
      <c r="A228" s="92" t="b">
        <v>1</v>
      </c>
      <c r="B228" s="96">
        <v>46002.0</v>
      </c>
      <c r="C228" s="50" t="s">
        <v>150</v>
      </c>
      <c r="D228" s="97" t="s">
        <v>743</v>
      </c>
      <c r="E228" s="97" t="s">
        <v>200</v>
      </c>
      <c r="F228" s="97" t="s">
        <v>156</v>
      </c>
      <c r="G228" s="98">
        <v>2423200.0</v>
      </c>
      <c r="H228" s="50" t="s">
        <v>744</v>
      </c>
      <c r="I228" s="50">
        <v>4.0</v>
      </c>
      <c r="J228" s="98">
        <f t="shared" si="82"/>
        <v>96928</v>
      </c>
      <c r="K228" s="98">
        <f t="shared" si="2"/>
        <v>4846.4</v>
      </c>
      <c r="L228" s="50">
        <v>88.0</v>
      </c>
      <c r="M228" s="98">
        <f t="shared" si="13"/>
        <v>85296.64</v>
      </c>
      <c r="N228" s="98"/>
      <c r="O228" s="98"/>
      <c r="P228" s="98"/>
      <c r="Q228" s="99">
        <f t="shared" si="69"/>
        <v>11631.36</v>
      </c>
      <c r="R228" s="111">
        <v>46070.0</v>
      </c>
      <c r="S228" s="50"/>
      <c r="T228" s="51"/>
      <c r="U228" s="51"/>
      <c r="V228" s="51"/>
      <c r="W228" s="51"/>
      <c r="X228" s="55"/>
      <c r="Y228" s="52"/>
      <c r="Z228" s="52"/>
      <c r="AA228" s="52"/>
      <c r="AB228" s="52"/>
      <c r="AC228" s="52"/>
      <c r="AD228" s="52"/>
      <c r="AE228" s="52"/>
      <c r="AF228" s="52"/>
      <c r="AG228" s="52"/>
      <c r="AH228" s="52"/>
      <c r="AI228" s="52"/>
      <c r="AJ228" s="52"/>
      <c r="AK228" s="52"/>
      <c r="AL228" s="52"/>
    </row>
    <row r="229" hidden="1">
      <c r="A229" s="92" t="b">
        <v>0</v>
      </c>
      <c r="B229" s="46">
        <v>46007.0</v>
      </c>
      <c r="C229" s="39" t="s">
        <v>219</v>
      </c>
      <c r="D229" s="37" t="s">
        <v>745</v>
      </c>
      <c r="E229" s="37" t="s">
        <v>652</v>
      </c>
      <c r="F229" s="37" t="s">
        <v>514</v>
      </c>
      <c r="G229" s="38">
        <v>740000.01</v>
      </c>
      <c r="H229" s="39" t="s">
        <v>279</v>
      </c>
      <c r="I229" s="39">
        <v>6.0</v>
      </c>
      <c r="J229" s="38">
        <f t="shared" si="82"/>
        <v>44400.0006</v>
      </c>
      <c r="K229" s="38">
        <f t="shared" si="2"/>
        <v>2220.00003</v>
      </c>
      <c r="L229" s="39">
        <v>80.0</v>
      </c>
      <c r="M229" s="38">
        <f t="shared" si="13"/>
        <v>35520.00048</v>
      </c>
      <c r="N229" s="38">
        <f>J229*0.05</f>
        <v>2220.00003</v>
      </c>
      <c r="O229" s="38"/>
      <c r="P229" s="38"/>
      <c r="Q229" s="40">
        <f t="shared" si="69"/>
        <v>6660.00009</v>
      </c>
      <c r="R229" s="49">
        <v>45671.0</v>
      </c>
      <c r="S229" s="49">
        <v>45676.0</v>
      </c>
      <c r="T229" s="47"/>
      <c r="U229" s="47"/>
      <c r="V229" s="47"/>
      <c r="W229" s="47"/>
      <c r="X229" s="45"/>
      <c r="Y229" s="43"/>
      <c r="Z229" s="43"/>
      <c r="AA229" s="43"/>
      <c r="AB229" s="43"/>
      <c r="AC229" s="43"/>
      <c r="AD229" s="43"/>
      <c r="AE229" s="43"/>
      <c r="AF229" s="43"/>
      <c r="AG229" s="43"/>
      <c r="AH229" s="43"/>
      <c r="AI229" s="43"/>
      <c r="AJ229" s="43"/>
      <c r="AK229" s="43"/>
      <c r="AL229" s="43"/>
    </row>
    <row r="230" hidden="1">
      <c r="A230" s="92" t="b">
        <v>0</v>
      </c>
      <c r="B230" s="46">
        <v>46011.0</v>
      </c>
      <c r="C230" s="39" t="s">
        <v>150</v>
      </c>
      <c r="D230" s="37" t="s">
        <v>746</v>
      </c>
      <c r="E230" s="37" t="s">
        <v>747</v>
      </c>
      <c r="F230" s="37"/>
      <c r="G230" s="38">
        <v>2579411.0</v>
      </c>
      <c r="H230" s="39" t="s">
        <v>361</v>
      </c>
      <c r="I230" s="39">
        <v>5.0</v>
      </c>
      <c r="J230" s="38">
        <f t="shared" si="82"/>
        <v>128970.55</v>
      </c>
      <c r="K230" s="38">
        <f t="shared" si="2"/>
        <v>6448.5275</v>
      </c>
      <c r="L230" s="39">
        <v>90.0</v>
      </c>
      <c r="M230" s="38">
        <f t="shared" si="13"/>
        <v>116073.495</v>
      </c>
      <c r="N230" s="38"/>
      <c r="O230" s="38"/>
      <c r="P230" s="38"/>
      <c r="Q230" s="40">
        <f t="shared" si="69"/>
        <v>12897.055</v>
      </c>
      <c r="R230" s="49">
        <v>46030.0</v>
      </c>
      <c r="S230" s="49">
        <v>46046.0</v>
      </c>
      <c r="T230" s="47"/>
      <c r="U230" s="47"/>
      <c r="V230" s="47"/>
      <c r="W230" s="47"/>
      <c r="X230" s="45"/>
      <c r="Y230" s="43"/>
      <c r="Z230" s="43"/>
      <c r="AA230" s="43"/>
      <c r="AB230" s="43"/>
      <c r="AC230" s="43"/>
      <c r="AD230" s="43"/>
      <c r="AE230" s="43"/>
      <c r="AF230" s="43"/>
      <c r="AG230" s="43"/>
      <c r="AH230" s="43"/>
      <c r="AI230" s="43"/>
      <c r="AJ230" s="43"/>
      <c r="AK230" s="43"/>
      <c r="AL230" s="43"/>
    </row>
    <row r="231" hidden="1">
      <c r="A231" s="92" t="b">
        <v>1</v>
      </c>
      <c r="B231" s="46">
        <v>46017.0</v>
      </c>
      <c r="C231" s="39" t="s">
        <v>219</v>
      </c>
      <c r="D231" s="37" t="s">
        <v>748</v>
      </c>
      <c r="E231" s="37" t="s">
        <v>661</v>
      </c>
      <c r="F231" s="45" t="s">
        <v>749</v>
      </c>
      <c r="G231" s="38">
        <v>1673943.35</v>
      </c>
      <c r="H231" s="39" t="s">
        <v>515</v>
      </c>
      <c r="I231" s="39">
        <v>5.0</v>
      </c>
      <c r="J231" s="38">
        <f t="shared" si="82"/>
        <v>83697.1675</v>
      </c>
      <c r="K231" s="38">
        <f t="shared" si="2"/>
        <v>4184.858375</v>
      </c>
      <c r="L231" s="39">
        <v>50.0</v>
      </c>
      <c r="M231" s="38">
        <f t="shared" si="13"/>
        <v>41848.58375</v>
      </c>
      <c r="N231" s="38">
        <f>J231*0.07</f>
        <v>5858.801725</v>
      </c>
      <c r="O231" s="38"/>
      <c r="P231" s="38"/>
      <c r="Q231" s="40">
        <f t="shared" si="69"/>
        <v>35989.78203</v>
      </c>
      <c r="R231" s="49">
        <v>46042.0</v>
      </c>
      <c r="S231" s="49">
        <v>46107.0</v>
      </c>
      <c r="T231" s="39" t="s">
        <v>750</v>
      </c>
      <c r="U231" s="39" t="s">
        <v>751</v>
      </c>
      <c r="V231" s="47"/>
      <c r="W231" s="47"/>
      <c r="X231" s="45"/>
      <c r="Y231" s="43"/>
      <c r="Z231" s="43"/>
      <c r="AA231" s="43"/>
      <c r="AB231" s="43"/>
      <c r="AC231" s="43"/>
      <c r="AD231" s="43"/>
      <c r="AE231" s="43"/>
      <c r="AF231" s="43"/>
      <c r="AG231" s="43"/>
      <c r="AH231" s="43"/>
      <c r="AI231" s="43"/>
      <c r="AJ231" s="43"/>
      <c r="AK231" s="43"/>
      <c r="AL231" s="43"/>
    </row>
    <row r="232" hidden="1">
      <c r="A232" s="92" t="b">
        <v>1</v>
      </c>
      <c r="B232" s="46">
        <v>46020.0</v>
      </c>
      <c r="C232" s="39" t="s">
        <v>150</v>
      </c>
      <c r="D232" s="37" t="s">
        <v>752</v>
      </c>
      <c r="E232" s="45" t="s">
        <v>564</v>
      </c>
      <c r="F232" s="45"/>
      <c r="G232" s="38">
        <v>6821000.0</v>
      </c>
      <c r="H232" s="39" t="s">
        <v>361</v>
      </c>
      <c r="I232" s="39">
        <v>5.0</v>
      </c>
      <c r="J232" s="38">
        <f t="shared" si="82"/>
        <v>341050</v>
      </c>
      <c r="K232" s="38">
        <f t="shared" si="2"/>
        <v>17052.5</v>
      </c>
      <c r="L232" s="39">
        <v>90.0</v>
      </c>
      <c r="M232" s="38">
        <f t="shared" si="13"/>
        <v>306945</v>
      </c>
      <c r="N232" s="38"/>
      <c r="O232" s="43"/>
      <c r="P232" s="43"/>
      <c r="Q232" s="40">
        <f t="shared" si="69"/>
        <v>34105</v>
      </c>
      <c r="R232" s="49">
        <v>46052.0</v>
      </c>
      <c r="S232" s="49">
        <v>46119.0</v>
      </c>
      <c r="T232" s="43"/>
      <c r="U232" s="43"/>
      <c r="V232" s="43"/>
      <c r="W232" s="43"/>
      <c r="X232" s="43"/>
      <c r="Y232" s="43"/>
      <c r="Z232" s="43"/>
      <c r="AA232" s="43"/>
      <c r="AB232" s="43"/>
      <c r="AC232" s="43"/>
      <c r="AD232" s="43"/>
      <c r="AE232" s="43"/>
      <c r="AF232" s="43"/>
      <c r="AG232" s="43"/>
      <c r="AH232" s="43"/>
      <c r="AI232" s="43"/>
      <c r="AJ232" s="43"/>
      <c r="AK232" s="43"/>
      <c r="AL232" s="43"/>
    </row>
    <row r="233" hidden="1">
      <c r="A233" s="92" t="b">
        <v>0</v>
      </c>
      <c r="B233" s="46">
        <v>46024.0</v>
      </c>
      <c r="C233" s="39" t="s">
        <v>150</v>
      </c>
      <c r="D233" s="37" t="s">
        <v>753</v>
      </c>
      <c r="E233" s="45" t="s">
        <v>592</v>
      </c>
      <c r="F233" s="45"/>
      <c r="G233" s="38">
        <v>1290257.14</v>
      </c>
      <c r="H233" s="39" t="s">
        <v>576</v>
      </c>
      <c r="I233" s="39">
        <v>6.0</v>
      </c>
      <c r="J233" s="38">
        <f t="shared" si="82"/>
        <v>77415.4284</v>
      </c>
      <c r="K233" s="38">
        <f t="shared" si="2"/>
        <v>3870.77142</v>
      </c>
      <c r="L233" s="39">
        <v>88.0</v>
      </c>
      <c r="M233" s="38">
        <f t="shared" si="13"/>
        <v>68125.57699</v>
      </c>
      <c r="N233" s="38"/>
      <c r="O233" s="43"/>
      <c r="P233" s="43"/>
      <c r="Q233" s="40">
        <f t="shared" si="69"/>
        <v>9289.851408</v>
      </c>
      <c r="R233" s="49">
        <v>46044.0</v>
      </c>
      <c r="S233" s="49">
        <v>46071.0</v>
      </c>
      <c r="T233" s="45" t="s">
        <v>754</v>
      </c>
      <c r="U233" s="43"/>
      <c r="V233" s="43"/>
      <c r="W233" s="43"/>
      <c r="X233" s="43"/>
      <c r="Y233" s="43"/>
      <c r="Z233" s="43"/>
      <c r="AA233" s="43"/>
      <c r="AB233" s="43"/>
      <c r="AC233" s="43"/>
      <c r="AD233" s="43"/>
      <c r="AE233" s="43"/>
      <c r="AF233" s="43"/>
      <c r="AG233" s="43"/>
      <c r="AH233" s="43"/>
      <c r="AI233" s="43"/>
      <c r="AJ233" s="43"/>
      <c r="AK233" s="43"/>
      <c r="AL233" s="43"/>
    </row>
    <row r="234">
      <c r="A234" s="92" t="b">
        <v>1</v>
      </c>
      <c r="B234" s="96">
        <v>46037.0</v>
      </c>
      <c r="C234" s="50" t="s">
        <v>150</v>
      </c>
      <c r="D234" s="97" t="s">
        <v>755</v>
      </c>
      <c r="E234" s="55" t="s">
        <v>756</v>
      </c>
      <c r="F234" s="55" t="s">
        <v>757</v>
      </c>
      <c r="G234" s="98">
        <v>3518427.0</v>
      </c>
      <c r="H234" s="50" t="s">
        <v>659</v>
      </c>
      <c r="I234" s="50">
        <v>4.0</v>
      </c>
      <c r="J234" s="98">
        <f t="shared" si="82"/>
        <v>140737.08</v>
      </c>
      <c r="K234" s="98">
        <f t="shared" si="2"/>
        <v>7036.854</v>
      </c>
      <c r="L234" s="50">
        <v>88.0</v>
      </c>
      <c r="M234" s="98">
        <f t="shared" si="13"/>
        <v>123848.6304</v>
      </c>
      <c r="N234" s="98">
        <f>J234*0.01</f>
        <v>1407.3708</v>
      </c>
      <c r="O234" s="52"/>
      <c r="P234" s="52"/>
      <c r="Q234" s="99">
        <f t="shared" si="69"/>
        <v>15481.0788</v>
      </c>
      <c r="R234" s="111">
        <v>46067.0</v>
      </c>
      <c r="S234" s="52"/>
      <c r="T234" s="55" t="s">
        <v>758</v>
      </c>
      <c r="U234" s="52"/>
      <c r="V234" s="52"/>
      <c r="W234" s="52"/>
      <c r="X234" s="52"/>
      <c r="Y234" s="52"/>
      <c r="Z234" s="52"/>
      <c r="AA234" s="52"/>
      <c r="AB234" s="52"/>
      <c r="AC234" s="52"/>
      <c r="AD234" s="52"/>
      <c r="AE234" s="52"/>
      <c r="AF234" s="52"/>
      <c r="AG234" s="52"/>
      <c r="AH234" s="52"/>
      <c r="AI234" s="52"/>
      <c r="AJ234" s="52"/>
      <c r="AK234" s="52"/>
      <c r="AL234" s="52"/>
    </row>
    <row r="235" hidden="1">
      <c r="A235" s="92" t="b">
        <v>1</v>
      </c>
      <c r="B235" s="46">
        <v>46037.0</v>
      </c>
      <c r="C235" s="39" t="s">
        <v>150</v>
      </c>
      <c r="D235" s="37" t="s">
        <v>759</v>
      </c>
      <c r="E235" s="45" t="s">
        <v>152</v>
      </c>
      <c r="F235" s="45"/>
      <c r="G235" s="38">
        <v>720000.0</v>
      </c>
      <c r="H235" s="39" t="s">
        <v>695</v>
      </c>
      <c r="I235" s="39">
        <v>5.0</v>
      </c>
      <c r="J235" s="38">
        <f t="shared" si="82"/>
        <v>36000</v>
      </c>
      <c r="K235" s="38">
        <f t="shared" si="2"/>
        <v>1800</v>
      </c>
      <c r="L235" s="39">
        <v>88.0</v>
      </c>
      <c r="M235" s="38">
        <f t="shared" si="13"/>
        <v>31680</v>
      </c>
      <c r="N235" s="38"/>
      <c r="O235" s="43"/>
      <c r="P235" s="43"/>
      <c r="Q235" s="40">
        <f t="shared" si="69"/>
        <v>4320</v>
      </c>
      <c r="R235" s="49">
        <v>46055.0</v>
      </c>
      <c r="S235" s="49">
        <v>46093.0</v>
      </c>
      <c r="T235" s="43"/>
      <c r="U235" s="45" t="s">
        <v>760</v>
      </c>
      <c r="V235" s="43"/>
      <c r="W235" s="43"/>
      <c r="X235" s="43"/>
      <c r="Y235" s="43"/>
      <c r="Z235" s="43"/>
      <c r="AA235" s="43"/>
      <c r="AB235" s="43"/>
      <c r="AC235" s="43"/>
      <c r="AD235" s="43"/>
      <c r="AE235" s="43"/>
      <c r="AF235" s="43"/>
      <c r="AG235" s="43"/>
      <c r="AH235" s="43"/>
      <c r="AI235" s="43"/>
      <c r="AJ235" s="43"/>
      <c r="AK235" s="43"/>
      <c r="AL235" s="43"/>
    </row>
    <row r="236" hidden="1">
      <c r="A236" s="92" t="b">
        <v>1</v>
      </c>
      <c r="B236" s="46">
        <v>46037.0</v>
      </c>
      <c r="C236" s="39" t="s">
        <v>150</v>
      </c>
      <c r="D236" s="37" t="s">
        <v>761</v>
      </c>
      <c r="E236" s="45" t="s">
        <v>152</v>
      </c>
      <c r="F236" s="45"/>
      <c r="G236" s="38">
        <v>1180098.0</v>
      </c>
      <c r="H236" s="39" t="s">
        <v>695</v>
      </c>
      <c r="I236" s="39">
        <v>5.0</v>
      </c>
      <c r="J236" s="38">
        <f t="shared" si="82"/>
        <v>59004.9</v>
      </c>
      <c r="K236" s="38">
        <f t="shared" si="2"/>
        <v>2950.245</v>
      </c>
      <c r="L236" s="39">
        <v>88.0</v>
      </c>
      <c r="M236" s="38">
        <f t="shared" si="13"/>
        <v>51924.312</v>
      </c>
      <c r="N236" s="38"/>
      <c r="O236" s="43"/>
      <c r="P236" s="43"/>
      <c r="Q236" s="40">
        <f t="shared" si="69"/>
        <v>7080.588</v>
      </c>
      <c r="R236" s="49">
        <v>46055.0</v>
      </c>
      <c r="S236" s="49">
        <v>46097.0</v>
      </c>
      <c r="T236" s="43"/>
      <c r="U236" s="45" t="s">
        <v>760</v>
      </c>
      <c r="V236" s="43"/>
      <c r="W236" s="43"/>
      <c r="X236" s="43"/>
      <c r="Y236" s="43"/>
      <c r="Z236" s="43"/>
      <c r="AA236" s="43"/>
      <c r="AB236" s="43"/>
      <c r="AC236" s="43"/>
      <c r="AD236" s="43"/>
      <c r="AE236" s="43"/>
      <c r="AF236" s="43"/>
      <c r="AG236" s="43"/>
      <c r="AH236" s="43"/>
      <c r="AI236" s="43"/>
      <c r="AJ236" s="43"/>
      <c r="AK236" s="43"/>
      <c r="AL236" s="43"/>
    </row>
    <row r="237" hidden="1">
      <c r="A237" s="92" t="b">
        <v>0</v>
      </c>
      <c r="B237" s="46">
        <v>46037.0</v>
      </c>
      <c r="C237" s="39" t="s">
        <v>150</v>
      </c>
      <c r="D237" s="37" t="s">
        <v>703</v>
      </c>
      <c r="E237" s="45" t="s">
        <v>762</v>
      </c>
      <c r="F237" s="45"/>
      <c r="G237" s="38">
        <v>5300600.0</v>
      </c>
      <c r="H237" s="39" t="s">
        <v>659</v>
      </c>
      <c r="I237" s="39">
        <v>4.0</v>
      </c>
      <c r="J237" s="38">
        <f t="shared" si="82"/>
        <v>212024</v>
      </c>
      <c r="K237" s="38">
        <f t="shared" si="2"/>
        <v>10601.2</v>
      </c>
      <c r="L237" s="39">
        <v>90.0</v>
      </c>
      <c r="M237" s="38">
        <f t="shared" si="13"/>
        <v>190821.6</v>
      </c>
      <c r="N237" s="38"/>
      <c r="O237" s="43"/>
      <c r="P237" s="43"/>
      <c r="Q237" s="40">
        <f t="shared" si="69"/>
        <v>21202.4</v>
      </c>
      <c r="R237" s="49">
        <v>46060.0</v>
      </c>
      <c r="S237" s="49">
        <v>46079.0</v>
      </c>
      <c r="T237" s="43"/>
      <c r="U237" s="43"/>
      <c r="V237" s="43"/>
      <c r="W237" s="43"/>
      <c r="X237" s="43"/>
      <c r="Y237" s="43"/>
      <c r="Z237" s="52"/>
      <c r="AA237" s="52"/>
      <c r="AB237" s="52"/>
      <c r="AC237" s="52"/>
      <c r="AD237" s="52"/>
      <c r="AE237" s="52"/>
      <c r="AF237" s="52"/>
      <c r="AG237" s="52"/>
      <c r="AH237" s="52"/>
      <c r="AI237" s="52"/>
      <c r="AJ237" s="52"/>
      <c r="AK237" s="52"/>
      <c r="AL237" s="52"/>
    </row>
    <row r="238">
      <c r="A238" s="115" t="b">
        <v>1</v>
      </c>
      <c r="B238" s="96">
        <v>46037.0</v>
      </c>
      <c r="C238" s="50" t="s">
        <v>219</v>
      </c>
      <c r="D238" s="97" t="s">
        <v>763</v>
      </c>
      <c r="E238" s="55" t="s">
        <v>764</v>
      </c>
      <c r="F238" s="55" t="s">
        <v>749</v>
      </c>
      <c r="G238" s="98">
        <v>8192900.0</v>
      </c>
      <c r="H238" s="50" t="s">
        <v>659</v>
      </c>
      <c r="I238" s="50">
        <v>4.0</v>
      </c>
      <c r="J238" s="98">
        <f t="shared" si="82"/>
        <v>327716</v>
      </c>
      <c r="K238" s="98">
        <f t="shared" si="2"/>
        <v>16385.8</v>
      </c>
      <c r="L238" s="50">
        <v>80.0</v>
      </c>
      <c r="M238" s="98">
        <f t="shared" si="13"/>
        <v>262172.8</v>
      </c>
      <c r="N238" s="98">
        <f>J238*0.08</f>
        <v>26217.28</v>
      </c>
      <c r="O238" s="52"/>
      <c r="P238" s="52"/>
      <c r="Q238" s="99">
        <f t="shared" si="69"/>
        <v>39325.92</v>
      </c>
      <c r="R238" s="111">
        <v>46074.0</v>
      </c>
      <c r="S238" s="52"/>
      <c r="T238" s="55" t="s">
        <v>765</v>
      </c>
      <c r="U238" s="52"/>
      <c r="V238" s="52"/>
      <c r="W238" s="52"/>
      <c r="X238" s="52"/>
      <c r="Y238" s="52"/>
      <c r="Z238" s="43"/>
      <c r="AA238" s="43"/>
      <c r="AB238" s="43"/>
      <c r="AC238" s="43"/>
      <c r="AD238" s="43"/>
      <c r="AE238" s="43"/>
      <c r="AF238" s="43"/>
      <c r="AG238" s="43"/>
      <c r="AH238" s="43"/>
      <c r="AI238" s="43"/>
      <c r="AJ238" s="43"/>
      <c r="AK238" s="43"/>
      <c r="AL238" s="43"/>
    </row>
    <row r="239">
      <c r="A239" s="92" t="b">
        <v>1</v>
      </c>
      <c r="B239" s="96">
        <v>46039.0</v>
      </c>
      <c r="C239" s="50" t="s">
        <v>150</v>
      </c>
      <c r="D239" s="97" t="s">
        <v>766</v>
      </c>
      <c r="E239" s="55" t="s">
        <v>685</v>
      </c>
      <c r="F239" s="55" t="s">
        <v>295</v>
      </c>
      <c r="G239" s="98">
        <v>2713000.0</v>
      </c>
      <c r="H239" s="50" t="s">
        <v>688</v>
      </c>
      <c r="I239" s="50">
        <v>6.0</v>
      </c>
      <c r="J239" s="98">
        <f t="shared" si="82"/>
        <v>162780</v>
      </c>
      <c r="K239" s="98">
        <f t="shared" si="2"/>
        <v>8139</v>
      </c>
      <c r="L239" s="50">
        <v>88.0</v>
      </c>
      <c r="M239" s="98">
        <f t="shared" si="13"/>
        <v>143246.4</v>
      </c>
      <c r="N239" s="98">
        <f>J239*0.01</f>
        <v>1627.8</v>
      </c>
      <c r="O239" s="52"/>
      <c r="P239" s="52"/>
      <c r="Q239" s="99">
        <f t="shared" si="69"/>
        <v>17905.8</v>
      </c>
      <c r="R239" s="111">
        <v>46041.0</v>
      </c>
      <c r="S239" s="52"/>
      <c r="T239" s="52"/>
      <c r="U239" s="52"/>
      <c r="V239" s="52"/>
      <c r="W239" s="52"/>
      <c r="X239" s="52"/>
      <c r="Y239" s="52"/>
      <c r="Z239" s="52"/>
      <c r="AA239" s="52"/>
      <c r="AB239" s="52"/>
      <c r="AC239" s="52"/>
      <c r="AD239" s="52"/>
      <c r="AE239" s="52"/>
      <c r="AF239" s="52"/>
      <c r="AG239" s="52"/>
      <c r="AH239" s="52"/>
      <c r="AI239" s="52"/>
      <c r="AJ239" s="52"/>
      <c r="AK239" s="52"/>
      <c r="AL239" s="52"/>
    </row>
    <row r="240">
      <c r="A240" s="92" t="b">
        <v>1</v>
      </c>
      <c r="B240" s="96">
        <v>46042.0</v>
      </c>
      <c r="C240" s="50" t="s">
        <v>219</v>
      </c>
      <c r="D240" s="97" t="s">
        <v>767</v>
      </c>
      <c r="E240" s="55" t="s">
        <v>570</v>
      </c>
      <c r="F240" s="55" t="s">
        <v>749</v>
      </c>
      <c r="G240" s="98">
        <v>1478877.0</v>
      </c>
      <c r="H240" s="50" t="s">
        <v>515</v>
      </c>
      <c r="I240" s="50">
        <v>5.0</v>
      </c>
      <c r="J240" s="98">
        <f t="shared" si="82"/>
        <v>73943.85</v>
      </c>
      <c r="K240" s="98">
        <f t="shared" si="2"/>
        <v>3697.1925</v>
      </c>
      <c r="L240" s="50">
        <v>80.0</v>
      </c>
      <c r="M240" s="98">
        <f t="shared" si="13"/>
        <v>59155.08</v>
      </c>
      <c r="N240" s="98">
        <f>J240*0.08</f>
        <v>5915.508</v>
      </c>
      <c r="O240" s="52"/>
      <c r="P240" s="52"/>
      <c r="Q240" s="99">
        <f t="shared" si="69"/>
        <v>8873.262</v>
      </c>
      <c r="R240" s="111">
        <v>46073.0</v>
      </c>
      <c r="S240" s="52"/>
      <c r="T240" s="55" t="s">
        <v>768</v>
      </c>
      <c r="U240" s="52"/>
      <c r="V240" s="52"/>
      <c r="W240" s="52"/>
      <c r="X240" s="52"/>
      <c r="Y240" s="52"/>
      <c r="Z240" s="52"/>
      <c r="AA240" s="52"/>
      <c r="AB240" s="52"/>
      <c r="AC240" s="52"/>
      <c r="AD240" s="52"/>
      <c r="AE240" s="52"/>
      <c r="AF240" s="52"/>
      <c r="AG240" s="52"/>
      <c r="AH240" s="52"/>
      <c r="AI240" s="52"/>
      <c r="AJ240" s="52"/>
      <c r="AK240" s="52"/>
      <c r="AL240" s="52"/>
    </row>
    <row r="241" hidden="1">
      <c r="A241" s="92" t="b">
        <v>1</v>
      </c>
      <c r="B241" s="46">
        <v>46043.0</v>
      </c>
      <c r="C241" s="39" t="s">
        <v>219</v>
      </c>
      <c r="D241" s="37" t="s">
        <v>769</v>
      </c>
      <c r="E241" s="45" t="s">
        <v>649</v>
      </c>
      <c r="F241" s="45" t="s">
        <v>770</v>
      </c>
      <c r="G241" s="38">
        <v>769619.89</v>
      </c>
      <c r="H241" s="39" t="s">
        <v>515</v>
      </c>
      <c r="I241" s="39">
        <v>5.0</v>
      </c>
      <c r="J241" s="38">
        <f t="shared" si="82"/>
        <v>38480.9945</v>
      </c>
      <c r="K241" s="38">
        <f t="shared" si="2"/>
        <v>1924.049725</v>
      </c>
      <c r="L241" s="39">
        <v>33.0</v>
      </c>
      <c r="M241" s="38">
        <f t="shared" si="13"/>
        <v>12698.72819</v>
      </c>
      <c r="N241" s="38">
        <f>J241*0.55</f>
        <v>21164.54698</v>
      </c>
      <c r="O241" s="43"/>
      <c r="P241" s="43"/>
      <c r="Q241" s="40">
        <f t="shared" si="69"/>
        <v>4617.71934</v>
      </c>
      <c r="R241" s="49">
        <v>46086.0</v>
      </c>
      <c r="S241" s="49">
        <v>46107.0</v>
      </c>
      <c r="T241" s="43"/>
      <c r="U241" s="45" t="s">
        <v>771</v>
      </c>
      <c r="V241" s="43"/>
      <c r="W241" s="43"/>
      <c r="X241" s="43"/>
      <c r="Y241" s="43"/>
      <c r="Z241" s="43"/>
      <c r="AA241" s="43"/>
      <c r="AB241" s="43"/>
      <c r="AC241" s="43"/>
      <c r="AD241" s="43"/>
      <c r="AE241" s="43"/>
      <c r="AF241" s="43"/>
      <c r="AG241" s="43"/>
      <c r="AH241" s="43"/>
      <c r="AI241" s="43"/>
      <c r="AJ241" s="43"/>
      <c r="AK241" s="43"/>
      <c r="AL241" s="43"/>
    </row>
    <row r="242" hidden="1">
      <c r="A242" s="92" t="b">
        <v>0</v>
      </c>
      <c r="B242" s="46">
        <v>46044.0</v>
      </c>
      <c r="C242" s="39" t="s">
        <v>150</v>
      </c>
      <c r="D242" s="37" t="s">
        <v>772</v>
      </c>
      <c r="E242" s="45" t="s">
        <v>575</v>
      </c>
      <c r="F242" s="45"/>
      <c r="G242" s="38">
        <v>1536555.83</v>
      </c>
      <c r="H242" s="39" t="s">
        <v>773</v>
      </c>
      <c r="I242" s="39">
        <v>7.0</v>
      </c>
      <c r="J242" s="38">
        <f t="shared" si="82"/>
        <v>107558.9081</v>
      </c>
      <c r="K242" s="38">
        <f t="shared" si="2"/>
        <v>5377.945405</v>
      </c>
      <c r="L242" s="39">
        <v>90.0</v>
      </c>
      <c r="M242" s="38">
        <f t="shared" si="13"/>
        <v>96803.01729</v>
      </c>
      <c r="N242" s="38"/>
      <c r="O242" s="43"/>
      <c r="P242" s="43"/>
      <c r="Q242" s="40">
        <f t="shared" si="69"/>
        <v>10755.89081</v>
      </c>
      <c r="R242" s="49">
        <v>45680.0</v>
      </c>
      <c r="S242" s="49">
        <v>46057.0</v>
      </c>
      <c r="T242" s="43"/>
      <c r="U242" s="43"/>
      <c r="V242" s="43"/>
      <c r="W242" s="43"/>
      <c r="X242" s="43"/>
      <c r="Y242" s="43"/>
      <c r="Z242" s="43"/>
      <c r="AA242" s="43"/>
      <c r="AB242" s="43"/>
      <c r="AC242" s="43"/>
      <c r="AD242" s="43"/>
      <c r="AE242" s="43"/>
      <c r="AF242" s="43"/>
      <c r="AG242" s="43"/>
      <c r="AH242" s="43"/>
      <c r="AI242" s="43"/>
      <c r="AJ242" s="43"/>
      <c r="AK242" s="43"/>
      <c r="AL242" s="43"/>
    </row>
    <row r="243">
      <c r="A243" s="92" t="b">
        <v>1</v>
      </c>
      <c r="B243" s="113">
        <v>46045.0</v>
      </c>
      <c r="C243" s="18" t="s">
        <v>219</v>
      </c>
      <c r="D243" s="17" t="s">
        <v>774</v>
      </c>
      <c r="E243" s="82" t="s">
        <v>775</v>
      </c>
      <c r="F243" s="82" t="s">
        <v>749</v>
      </c>
      <c r="G243" s="109">
        <v>600000.0</v>
      </c>
      <c r="H243" s="18" t="s">
        <v>223</v>
      </c>
      <c r="I243" s="18">
        <v>4.0</v>
      </c>
      <c r="J243" s="109">
        <f t="shared" si="82"/>
        <v>24000</v>
      </c>
      <c r="K243" s="109">
        <f t="shared" si="2"/>
        <v>1200</v>
      </c>
      <c r="L243" s="18">
        <v>50.0</v>
      </c>
      <c r="M243" s="109">
        <f t="shared" si="13"/>
        <v>12000</v>
      </c>
      <c r="N243" s="109">
        <f t="shared" ref="N243:N244" si="84">J243*0.08</f>
        <v>1920</v>
      </c>
      <c r="O243" s="116"/>
      <c r="P243" s="116"/>
      <c r="Q243" s="110">
        <f t="shared" si="69"/>
        <v>10080</v>
      </c>
      <c r="R243" s="81"/>
      <c r="S243" s="116"/>
      <c r="T243" s="116"/>
      <c r="U243" s="116"/>
      <c r="V243" s="116"/>
      <c r="W243" s="116"/>
      <c r="X243" s="116"/>
      <c r="Y243" s="116"/>
      <c r="Z243" s="116"/>
      <c r="AA243" s="116"/>
      <c r="AB243" s="116"/>
      <c r="AC243" s="116"/>
      <c r="AD243" s="116"/>
      <c r="AE243" s="116"/>
      <c r="AF243" s="116"/>
      <c r="AG243" s="116"/>
      <c r="AH243" s="116"/>
      <c r="AI243" s="116"/>
      <c r="AJ243" s="116"/>
      <c r="AK243" s="116"/>
      <c r="AL243" s="116"/>
    </row>
    <row r="244">
      <c r="A244" s="115" t="b">
        <v>1</v>
      </c>
      <c r="B244" s="96">
        <v>46045.0</v>
      </c>
      <c r="C244" s="50" t="s">
        <v>219</v>
      </c>
      <c r="D244" s="97" t="s">
        <v>776</v>
      </c>
      <c r="E244" s="55" t="s">
        <v>777</v>
      </c>
      <c r="F244" s="55" t="s">
        <v>749</v>
      </c>
      <c r="G244" s="98">
        <v>960000.0</v>
      </c>
      <c r="H244" s="50" t="s">
        <v>778</v>
      </c>
      <c r="I244" s="50">
        <v>5.0</v>
      </c>
      <c r="J244" s="98">
        <f t="shared" si="82"/>
        <v>48000</v>
      </c>
      <c r="K244" s="98">
        <f t="shared" si="2"/>
        <v>2400</v>
      </c>
      <c r="L244" s="50">
        <v>80.0</v>
      </c>
      <c r="M244" s="98">
        <f t="shared" si="13"/>
        <v>38400</v>
      </c>
      <c r="N244" s="98">
        <f t="shared" si="84"/>
        <v>3840</v>
      </c>
      <c r="O244" s="52"/>
      <c r="P244" s="52"/>
      <c r="Q244" s="99">
        <f t="shared" si="69"/>
        <v>5760</v>
      </c>
      <c r="R244" s="111">
        <v>46052.0</v>
      </c>
      <c r="S244" s="112"/>
      <c r="T244" s="55" t="s">
        <v>779</v>
      </c>
      <c r="U244" s="52"/>
      <c r="V244" s="52"/>
      <c r="W244" s="52"/>
      <c r="X244" s="52"/>
      <c r="Y244" s="52"/>
      <c r="Z244" s="52"/>
      <c r="AA244" s="52"/>
      <c r="AB244" s="52"/>
      <c r="AC244" s="52"/>
      <c r="AD244" s="52"/>
      <c r="AE244" s="52"/>
      <c r="AF244" s="52"/>
      <c r="AG244" s="52"/>
      <c r="AH244" s="52"/>
      <c r="AI244" s="52"/>
      <c r="AJ244" s="52"/>
      <c r="AK244" s="52"/>
      <c r="AL244" s="52"/>
    </row>
    <row r="245" hidden="1">
      <c r="A245" s="92" t="b">
        <v>0</v>
      </c>
      <c r="B245" s="46">
        <v>46046.0</v>
      </c>
      <c r="C245" s="39" t="s">
        <v>150</v>
      </c>
      <c r="D245" s="37" t="s">
        <v>780</v>
      </c>
      <c r="E245" s="45" t="s">
        <v>781</v>
      </c>
      <c r="F245" s="45"/>
      <c r="G245" s="38">
        <v>1494000.0</v>
      </c>
      <c r="H245" s="39" t="s">
        <v>609</v>
      </c>
      <c r="I245" s="39">
        <v>6.0</v>
      </c>
      <c r="J245" s="38">
        <f t="shared" si="82"/>
        <v>89640</v>
      </c>
      <c r="K245" s="38">
        <f t="shared" si="2"/>
        <v>4482</v>
      </c>
      <c r="L245" s="39">
        <v>88.0</v>
      </c>
      <c r="M245" s="38">
        <f t="shared" si="13"/>
        <v>78883.2</v>
      </c>
      <c r="N245" s="38"/>
      <c r="O245" s="43"/>
      <c r="P245" s="43"/>
      <c r="Q245" s="40">
        <f t="shared" si="69"/>
        <v>10756.8</v>
      </c>
      <c r="R245" s="49">
        <v>46050.0</v>
      </c>
      <c r="S245" s="49">
        <v>46058.0</v>
      </c>
      <c r="T245" s="43"/>
      <c r="U245" s="43"/>
      <c r="V245" s="43"/>
      <c r="W245" s="43"/>
      <c r="X245" s="43"/>
      <c r="Y245" s="43"/>
      <c r="Z245" s="52"/>
      <c r="AA245" s="52"/>
      <c r="AB245" s="52"/>
      <c r="AC245" s="52"/>
      <c r="AD245" s="52"/>
      <c r="AE245" s="52"/>
      <c r="AF245" s="52"/>
      <c r="AG245" s="52"/>
      <c r="AH245" s="52"/>
      <c r="AI245" s="52"/>
      <c r="AJ245" s="52"/>
      <c r="AK245" s="52"/>
      <c r="AL245" s="52"/>
    </row>
    <row r="246" hidden="1">
      <c r="A246" s="92" t="b">
        <v>1</v>
      </c>
      <c r="B246" s="46">
        <v>46046.0</v>
      </c>
      <c r="C246" s="39" t="s">
        <v>150</v>
      </c>
      <c r="D246" s="37" t="s">
        <v>782</v>
      </c>
      <c r="E246" s="45" t="s">
        <v>664</v>
      </c>
      <c r="F246" s="45" t="s">
        <v>783</v>
      </c>
      <c r="G246" s="38">
        <v>2361000.0</v>
      </c>
      <c r="H246" s="39" t="s">
        <v>784</v>
      </c>
      <c r="I246" s="39">
        <v>4.0</v>
      </c>
      <c r="J246" s="38">
        <f t="shared" si="82"/>
        <v>94440</v>
      </c>
      <c r="K246" s="38">
        <f t="shared" si="2"/>
        <v>4722</v>
      </c>
      <c r="L246" s="39">
        <v>88.0</v>
      </c>
      <c r="M246" s="38">
        <f t="shared" si="13"/>
        <v>83107.2</v>
      </c>
      <c r="N246" s="38">
        <f t="shared" ref="N246:N247" si="85">J246*0.01</f>
        <v>944.4</v>
      </c>
      <c r="O246" s="43"/>
      <c r="P246" s="43"/>
      <c r="Q246" s="40">
        <f t="shared" si="69"/>
        <v>10388.4</v>
      </c>
      <c r="R246" s="49">
        <v>46084.0</v>
      </c>
      <c r="S246" s="49">
        <v>46099.0</v>
      </c>
      <c r="T246" s="43"/>
      <c r="U246" s="45" t="s">
        <v>785</v>
      </c>
      <c r="V246" s="43"/>
      <c r="W246" s="43"/>
      <c r="X246" s="43"/>
      <c r="Y246" s="43"/>
      <c r="Z246" s="43"/>
      <c r="AA246" s="43"/>
      <c r="AB246" s="43"/>
      <c r="AC246" s="43"/>
      <c r="AD246" s="43"/>
      <c r="AE246" s="43"/>
      <c r="AF246" s="43"/>
      <c r="AG246" s="43"/>
      <c r="AH246" s="43"/>
      <c r="AI246" s="43"/>
      <c r="AJ246" s="43"/>
      <c r="AK246" s="43"/>
      <c r="AL246" s="43"/>
    </row>
    <row r="247" hidden="1">
      <c r="A247" s="92" t="b">
        <v>0</v>
      </c>
      <c r="B247" s="46">
        <v>46048.0</v>
      </c>
      <c r="C247" s="39" t="s">
        <v>150</v>
      </c>
      <c r="D247" s="37" t="s">
        <v>786</v>
      </c>
      <c r="E247" s="45" t="s">
        <v>787</v>
      </c>
      <c r="F247" s="45" t="s">
        <v>788</v>
      </c>
      <c r="G247" s="38">
        <v>533900.0</v>
      </c>
      <c r="H247" s="39" t="s">
        <v>284</v>
      </c>
      <c r="I247" s="39">
        <v>7.0</v>
      </c>
      <c r="J247" s="38">
        <f t="shared" si="82"/>
        <v>37373</v>
      </c>
      <c r="K247" s="38">
        <f t="shared" si="2"/>
        <v>1868.65</v>
      </c>
      <c r="L247" s="39">
        <v>88.0</v>
      </c>
      <c r="M247" s="38">
        <f t="shared" si="13"/>
        <v>32888.24</v>
      </c>
      <c r="N247" s="38">
        <f t="shared" si="85"/>
        <v>373.73</v>
      </c>
      <c r="O247" s="43"/>
      <c r="P247" s="43"/>
      <c r="Q247" s="40">
        <f t="shared" si="69"/>
        <v>4111.03</v>
      </c>
      <c r="R247" s="47"/>
      <c r="S247" s="49">
        <v>46049.0</v>
      </c>
      <c r="T247" s="43"/>
      <c r="U247" s="43"/>
      <c r="V247" s="43"/>
      <c r="W247" s="43"/>
      <c r="X247" s="43"/>
      <c r="Y247" s="43"/>
      <c r="Z247" s="43"/>
      <c r="AA247" s="43"/>
      <c r="AB247" s="43"/>
      <c r="AC247" s="43"/>
      <c r="AD247" s="43"/>
      <c r="AE247" s="43"/>
      <c r="AF247" s="43"/>
      <c r="AG247" s="43"/>
      <c r="AH247" s="43"/>
      <c r="AI247" s="43"/>
      <c r="AJ247" s="43"/>
      <c r="AK247" s="43"/>
      <c r="AL247" s="43"/>
    </row>
    <row r="248">
      <c r="A248" s="92" t="b">
        <v>1</v>
      </c>
      <c r="B248" s="96">
        <v>46049.0</v>
      </c>
      <c r="C248" s="50" t="s">
        <v>219</v>
      </c>
      <c r="D248" s="97" t="s">
        <v>789</v>
      </c>
      <c r="E248" s="55" t="s">
        <v>652</v>
      </c>
      <c r="F248" s="55" t="s">
        <v>749</v>
      </c>
      <c r="G248" s="98">
        <v>2080828.0</v>
      </c>
      <c r="H248" s="50" t="s">
        <v>191</v>
      </c>
      <c r="I248" s="50">
        <v>5.0</v>
      </c>
      <c r="J248" s="98">
        <f t="shared" si="82"/>
        <v>104041.4</v>
      </c>
      <c r="K248" s="98">
        <f t="shared" si="2"/>
        <v>5202.07</v>
      </c>
      <c r="L248" s="50">
        <v>50.0</v>
      </c>
      <c r="M248" s="98">
        <f t="shared" si="13"/>
        <v>52020.7</v>
      </c>
      <c r="N248" s="98">
        <f>J248*0.08</f>
        <v>8323.312</v>
      </c>
      <c r="O248" s="52"/>
      <c r="P248" s="52"/>
      <c r="Q248" s="99">
        <f t="shared" si="69"/>
        <v>43697.388</v>
      </c>
      <c r="R248" s="111">
        <v>46086.0</v>
      </c>
      <c r="S248" s="52"/>
      <c r="T248" s="55" t="s">
        <v>790</v>
      </c>
      <c r="U248" s="52"/>
      <c r="V248" s="52"/>
      <c r="W248" s="52"/>
      <c r="X248" s="52"/>
      <c r="Y248" s="52"/>
      <c r="Z248" s="52"/>
      <c r="AA248" s="52"/>
      <c r="AB248" s="52"/>
      <c r="AC248" s="52"/>
      <c r="AD248" s="52"/>
      <c r="AE248" s="52"/>
      <c r="AF248" s="52"/>
      <c r="AG248" s="52"/>
      <c r="AH248" s="52"/>
      <c r="AI248" s="52"/>
      <c r="AJ248" s="52"/>
      <c r="AK248" s="52"/>
      <c r="AL248" s="52"/>
    </row>
    <row r="249" hidden="1">
      <c r="A249" s="92" t="b">
        <v>0</v>
      </c>
      <c r="B249" s="46">
        <v>46051.0</v>
      </c>
      <c r="C249" s="39" t="s">
        <v>150</v>
      </c>
      <c r="D249" s="37" t="s">
        <v>791</v>
      </c>
      <c r="E249" s="45" t="s">
        <v>575</v>
      </c>
      <c r="F249" s="45"/>
      <c r="G249" s="38">
        <v>1610357.0</v>
      </c>
      <c r="H249" s="39" t="s">
        <v>773</v>
      </c>
      <c r="I249" s="39">
        <v>7.0</v>
      </c>
      <c r="J249" s="38">
        <f t="shared" si="82"/>
        <v>112724.99</v>
      </c>
      <c r="K249" s="38">
        <f t="shared" si="2"/>
        <v>5636.2495</v>
      </c>
      <c r="L249" s="39">
        <v>90.0</v>
      </c>
      <c r="M249" s="38">
        <f t="shared" si="13"/>
        <v>101452.491</v>
      </c>
      <c r="N249" s="38">
        <v>0.0</v>
      </c>
      <c r="O249" s="43"/>
      <c r="P249" s="43"/>
      <c r="Q249" s="40">
        <f t="shared" si="69"/>
        <v>11272.499</v>
      </c>
      <c r="R249" s="49">
        <v>46055.0</v>
      </c>
      <c r="S249" s="49">
        <v>46057.0</v>
      </c>
      <c r="T249" s="43"/>
      <c r="U249" s="43"/>
      <c r="V249" s="43"/>
      <c r="W249" s="43"/>
      <c r="X249" s="43"/>
      <c r="Y249" s="43"/>
      <c r="Z249" s="43"/>
      <c r="AA249" s="43"/>
      <c r="AB249" s="43"/>
      <c r="AC249" s="43"/>
      <c r="AD249" s="43"/>
      <c r="AE249" s="43"/>
      <c r="AF249" s="43"/>
      <c r="AG249" s="43"/>
      <c r="AH249" s="43"/>
      <c r="AI249" s="43"/>
      <c r="AJ249" s="43"/>
      <c r="AK249" s="43"/>
      <c r="AL249" s="43"/>
    </row>
    <row r="250">
      <c r="A250" s="92" t="b">
        <v>1</v>
      </c>
      <c r="B250" s="113">
        <v>46052.0</v>
      </c>
      <c r="C250" s="18" t="s">
        <v>219</v>
      </c>
      <c r="D250" s="17" t="s">
        <v>792</v>
      </c>
      <c r="E250" s="82" t="s">
        <v>775</v>
      </c>
      <c r="F250" s="82" t="s">
        <v>793</v>
      </c>
      <c r="G250" s="109">
        <v>1970379.0</v>
      </c>
      <c r="H250" s="18" t="s">
        <v>174</v>
      </c>
      <c r="I250" s="18">
        <v>3.0</v>
      </c>
      <c r="J250" s="109">
        <f t="shared" si="82"/>
        <v>59111.37</v>
      </c>
      <c r="K250" s="109">
        <f t="shared" si="2"/>
        <v>2955.5685</v>
      </c>
      <c r="L250" s="18">
        <v>80.0</v>
      </c>
      <c r="M250" s="109">
        <f t="shared" si="13"/>
        <v>47289.096</v>
      </c>
      <c r="N250" s="109">
        <f>J250*0.08</f>
        <v>4728.9096</v>
      </c>
      <c r="O250" s="116"/>
      <c r="P250" s="116"/>
      <c r="Q250" s="110">
        <f t="shared" si="69"/>
        <v>7093.3644</v>
      </c>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row>
    <row r="251">
      <c r="A251" s="92" t="b">
        <v>1</v>
      </c>
      <c r="B251" s="113">
        <v>46055.0</v>
      </c>
      <c r="C251" s="18" t="s">
        <v>150</v>
      </c>
      <c r="D251" s="17" t="s">
        <v>794</v>
      </c>
      <c r="E251" s="82" t="s">
        <v>795</v>
      </c>
      <c r="F251" s="82" t="s">
        <v>796</v>
      </c>
      <c r="G251" s="109">
        <v>921000.0</v>
      </c>
      <c r="H251" s="18" t="s">
        <v>797</v>
      </c>
      <c r="I251" s="18">
        <v>4.0</v>
      </c>
      <c r="J251" s="109">
        <f t="shared" si="82"/>
        <v>36840</v>
      </c>
      <c r="K251" s="109">
        <f t="shared" si="2"/>
        <v>1842</v>
      </c>
      <c r="L251" s="18">
        <v>70.0</v>
      </c>
      <c r="M251" s="109">
        <f t="shared" si="13"/>
        <v>25788</v>
      </c>
      <c r="N251" s="109">
        <f>J251*0.18</f>
        <v>6631.2</v>
      </c>
      <c r="O251" s="116"/>
      <c r="P251" s="116"/>
      <c r="Q251" s="110">
        <f t="shared" si="69"/>
        <v>4420.8</v>
      </c>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row>
    <row r="252" hidden="1">
      <c r="A252" s="92" t="b">
        <v>1</v>
      </c>
      <c r="B252" s="46">
        <v>46057.0</v>
      </c>
      <c r="C252" s="39" t="s">
        <v>150</v>
      </c>
      <c r="D252" s="37" t="s">
        <v>798</v>
      </c>
      <c r="E252" s="45" t="s">
        <v>799</v>
      </c>
      <c r="F252" s="45"/>
      <c r="G252" s="38">
        <v>3596400.0</v>
      </c>
      <c r="H252" s="39" t="s">
        <v>800</v>
      </c>
      <c r="I252" s="39">
        <v>5.0</v>
      </c>
      <c r="J252" s="38">
        <f t="shared" si="82"/>
        <v>179820</v>
      </c>
      <c r="K252" s="38">
        <f t="shared" si="2"/>
        <v>8991</v>
      </c>
      <c r="L252" s="39">
        <v>90.0</v>
      </c>
      <c r="M252" s="38">
        <f t="shared" si="13"/>
        <v>161838</v>
      </c>
      <c r="N252" s="38"/>
      <c r="O252" s="43"/>
      <c r="P252" s="43"/>
      <c r="Q252" s="40">
        <f t="shared" si="69"/>
        <v>17982</v>
      </c>
      <c r="R252" s="49">
        <v>46070.0</v>
      </c>
      <c r="S252" s="49">
        <v>46112.0</v>
      </c>
      <c r="T252" s="45" t="s">
        <v>801</v>
      </c>
      <c r="U252" s="39" t="s">
        <v>802</v>
      </c>
      <c r="V252" s="43"/>
      <c r="W252" s="43"/>
      <c r="X252" s="43"/>
      <c r="Y252" s="43"/>
      <c r="Z252" s="43"/>
      <c r="AA252" s="43"/>
      <c r="AB252" s="43"/>
      <c r="AC252" s="43"/>
      <c r="AD252" s="43"/>
      <c r="AE252" s="43"/>
      <c r="AF252" s="43"/>
      <c r="AG252" s="43"/>
      <c r="AH252" s="43"/>
      <c r="AI252" s="43"/>
      <c r="AJ252" s="43"/>
      <c r="AK252" s="43"/>
      <c r="AL252" s="43"/>
    </row>
    <row r="253">
      <c r="A253" s="92" t="b">
        <v>1</v>
      </c>
      <c r="B253" s="96">
        <v>46057.0</v>
      </c>
      <c r="C253" s="50" t="s">
        <v>150</v>
      </c>
      <c r="D253" s="97" t="s">
        <v>798</v>
      </c>
      <c r="E253" s="55" t="s">
        <v>799</v>
      </c>
      <c r="F253" s="55"/>
      <c r="G253" s="98">
        <v>3604500.0</v>
      </c>
      <c r="H253" s="50" t="s">
        <v>800</v>
      </c>
      <c r="I253" s="50">
        <v>5.0</v>
      </c>
      <c r="J253" s="98">
        <f t="shared" si="82"/>
        <v>180225</v>
      </c>
      <c r="K253" s="98">
        <f t="shared" si="2"/>
        <v>9011.25</v>
      </c>
      <c r="L253" s="50">
        <v>90.0</v>
      </c>
      <c r="M253" s="98">
        <f t="shared" si="13"/>
        <v>162202.5</v>
      </c>
      <c r="N253" s="98"/>
      <c r="O253" s="52"/>
      <c r="P253" s="52"/>
      <c r="Q253" s="99">
        <f t="shared" si="69"/>
        <v>18022.5</v>
      </c>
      <c r="R253" s="111">
        <v>46070.0</v>
      </c>
      <c r="S253" s="52"/>
      <c r="T253" s="52"/>
      <c r="U253" s="52"/>
      <c r="V253" s="52"/>
      <c r="W253" s="52"/>
      <c r="X253" s="52"/>
      <c r="Y253" s="52"/>
      <c r="Z253" s="52"/>
      <c r="AA253" s="52"/>
      <c r="AB253" s="52"/>
      <c r="AC253" s="52"/>
      <c r="AD253" s="52"/>
      <c r="AE253" s="52"/>
      <c r="AF253" s="52"/>
      <c r="AG253" s="52"/>
      <c r="AH253" s="52"/>
      <c r="AI253" s="52"/>
      <c r="AJ253" s="52"/>
      <c r="AK253" s="52"/>
      <c r="AL253" s="52"/>
    </row>
    <row r="254" hidden="1">
      <c r="A254" s="92" t="b">
        <v>1</v>
      </c>
      <c r="B254" s="46">
        <v>46057.0</v>
      </c>
      <c r="C254" s="39" t="s">
        <v>219</v>
      </c>
      <c r="D254" s="37" t="s">
        <v>803</v>
      </c>
      <c r="E254" s="45" t="s">
        <v>570</v>
      </c>
      <c r="F254" s="45" t="s">
        <v>793</v>
      </c>
      <c r="G254" s="38">
        <v>3448000.0</v>
      </c>
      <c r="H254" s="39" t="s">
        <v>734</v>
      </c>
      <c r="I254" s="39">
        <v>5.0</v>
      </c>
      <c r="J254" s="38">
        <f t="shared" si="82"/>
        <v>172400</v>
      </c>
      <c r="K254" s="38">
        <f t="shared" si="2"/>
        <v>8620</v>
      </c>
      <c r="L254" s="39">
        <v>50.0</v>
      </c>
      <c r="M254" s="38">
        <f t="shared" si="13"/>
        <v>86200</v>
      </c>
      <c r="N254" s="38">
        <f t="shared" ref="N254:N255" si="86">J254*0.08</f>
        <v>13792</v>
      </c>
      <c r="O254" s="43"/>
      <c r="P254" s="43"/>
      <c r="Q254" s="40">
        <f t="shared" si="69"/>
        <v>72408</v>
      </c>
      <c r="R254" s="49">
        <v>46091.0</v>
      </c>
      <c r="S254" s="49">
        <v>46097.0</v>
      </c>
      <c r="T254" s="43"/>
      <c r="U254" s="39" t="s">
        <v>804</v>
      </c>
      <c r="V254" s="43"/>
      <c r="W254" s="43"/>
      <c r="X254" s="43"/>
      <c r="Y254" s="43"/>
      <c r="Z254" s="43"/>
      <c r="AA254" s="43"/>
      <c r="AB254" s="43"/>
      <c r="AC254" s="43"/>
      <c r="AD254" s="43"/>
      <c r="AE254" s="43"/>
      <c r="AF254" s="43"/>
      <c r="AG254" s="43"/>
      <c r="AH254" s="43"/>
      <c r="AI254" s="43"/>
      <c r="AJ254" s="43"/>
      <c r="AK254" s="43"/>
      <c r="AL254" s="43"/>
    </row>
    <row r="255" hidden="1">
      <c r="A255" s="92" t="b">
        <v>1</v>
      </c>
      <c r="B255" s="46">
        <v>46060.0</v>
      </c>
      <c r="C255" s="39" t="s">
        <v>219</v>
      </c>
      <c r="D255" s="37" t="s">
        <v>805</v>
      </c>
      <c r="E255" s="45" t="s">
        <v>649</v>
      </c>
      <c r="F255" s="45" t="s">
        <v>793</v>
      </c>
      <c r="G255" s="38">
        <v>1901063.63</v>
      </c>
      <c r="H255" s="39" t="s">
        <v>806</v>
      </c>
      <c r="I255" s="39">
        <v>5.0</v>
      </c>
      <c r="J255" s="38">
        <f t="shared" si="82"/>
        <v>95053.1815</v>
      </c>
      <c r="K255" s="38">
        <f t="shared" si="2"/>
        <v>4752.659075</v>
      </c>
      <c r="L255" s="39">
        <v>50.0</v>
      </c>
      <c r="M255" s="38">
        <f t="shared" si="13"/>
        <v>47526.59075</v>
      </c>
      <c r="N255" s="38">
        <f t="shared" si="86"/>
        <v>7604.25452</v>
      </c>
      <c r="O255" s="43"/>
      <c r="P255" s="43"/>
      <c r="Q255" s="40">
        <f t="shared" si="69"/>
        <v>39922.33623</v>
      </c>
      <c r="R255" s="49">
        <v>46111.0</v>
      </c>
      <c r="S255" s="49">
        <v>46121.0</v>
      </c>
      <c r="T255" s="43"/>
      <c r="U255" s="45" t="s">
        <v>807</v>
      </c>
      <c r="V255" s="43"/>
      <c r="W255" s="43"/>
      <c r="X255" s="43"/>
      <c r="Y255" s="43"/>
      <c r="Z255" s="43"/>
      <c r="AA255" s="43"/>
      <c r="AB255" s="43"/>
      <c r="AC255" s="43"/>
      <c r="AD255" s="43"/>
      <c r="AE255" s="43"/>
      <c r="AF255" s="43"/>
      <c r="AG255" s="43"/>
      <c r="AH255" s="43"/>
      <c r="AI255" s="43"/>
      <c r="AJ255" s="43"/>
      <c r="AK255" s="43"/>
      <c r="AL255" s="43"/>
    </row>
    <row r="256">
      <c r="A256" s="92" t="b">
        <v>1</v>
      </c>
      <c r="B256" s="113">
        <v>46065.0</v>
      </c>
      <c r="C256" s="18" t="s">
        <v>150</v>
      </c>
      <c r="D256" s="17" t="s">
        <v>808</v>
      </c>
      <c r="E256" s="82" t="s">
        <v>809</v>
      </c>
      <c r="F256" s="82"/>
      <c r="G256" s="109">
        <v>594320.0</v>
      </c>
      <c r="H256" s="18" t="s">
        <v>810</v>
      </c>
      <c r="I256" s="18">
        <v>5.0</v>
      </c>
      <c r="J256" s="109">
        <f t="shared" si="82"/>
        <v>29716</v>
      </c>
      <c r="K256" s="109">
        <f t="shared" si="2"/>
        <v>1485.8</v>
      </c>
      <c r="L256" s="18">
        <v>88.0</v>
      </c>
      <c r="M256" s="109">
        <f t="shared" si="13"/>
        <v>26150.08</v>
      </c>
      <c r="N256" s="109"/>
      <c r="O256" s="116"/>
      <c r="P256" s="116"/>
      <c r="Q256" s="110">
        <f t="shared" si="69"/>
        <v>3565.92</v>
      </c>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row>
    <row r="257">
      <c r="A257" s="115" t="b">
        <v>1</v>
      </c>
      <c r="B257" s="96">
        <v>46067.0</v>
      </c>
      <c r="C257" s="50" t="s">
        <v>150</v>
      </c>
      <c r="D257" s="97" t="s">
        <v>811</v>
      </c>
      <c r="E257" s="55" t="s">
        <v>200</v>
      </c>
      <c r="F257" s="55" t="s">
        <v>812</v>
      </c>
      <c r="G257" s="98">
        <v>539460.0</v>
      </c>
      <c r="H257" s="50" t="s">
        <v>813</v>
      </c>
      <c r="I257" s="50">
        <v>7.0</v>
      </c>
      <c r="J257" s="98">
        <f t="shared" si="82"/>
        <v>37762.2</v>
      </c>
      <c r="K257" s="98">
        <f t="shared" si="2"/>
        <v>1888.11</v>
      </c>
      <c r="L257" s="50">
        <v>80.0</v>
      </c>
      <c r="M257" s="98">
        <f t="shared" si="13"/>
        <v>30209.76</v>
      </c>
      <c r="N257" s="98">
        <f>J257*0.08</f>
        <v>3020.976</v>
      </c>
      <c r="O257" s="52"/>
      <c r="P257" s="52"/>
      <c r="Q257" s="99">
        <f t="shared" si="69"/>
        <v>4531.464</v>
      </c>
      <c r="R257" s="111">
        <v>46092.0</v>
      </c>
      <c r="S257" s="52"/>
      <c r="T257" s="52"/>
      <c r="U257" s="52"/>
      <c r="V257" s="52"/>
      <c r="W257" s="52"/>
      <c r="X257" s="52"/>
      <c r="Y257" s="52"/>
      <c r="Z257" s="52"/>
      <c r="AA257" s="52"/>
      <c r="AB257" s="52"/>
      <c r="AC257" s="52"/>
      <c r="AD257" s="52"/>
      <c r="AE257" s="52"/>
      <c r="AF257" s="52"/>
      <c r="AG257" s="52"/>
      <c r="AH257" s="52"/>
      <c r="AI257" s="52"/>
      <c r="AJ257" s="52"/>
      <c r="AK257" s="52"/>
      <c r="AL257" s="52"/>
    </row>
    <row r="258" hidden="1">
      <c r="A258" s="92" t="b">
        <v>1</v>
      </c>
      <c r="B258" s="46">
        <v>46067.0</v>
      </c>
      <c r="C258" s="39" t="s">
        <v>150</v>
      </c>
      <c r="D258" s="37" t="s">
        <v>814</v>
      </c>
      <c r="E258" s="45" t="s">
        <v>152</v>
      </c>
      <c r="F258" s="45"/>
      <c r="G258" s="38">
        <v>538200.0</v>
      </c>
      <c r="H258" s="39" t="s">
        <v>671</v>
      </c>
      <c r="I258" s="39">
        <v>5.0</v>
      </c>
      <c r="J258" s="38">
        <f t="shared" si="82"/>
        <v>26910</v>
      </c>
      <c r="K258" s="38">
        <f t="shared" si="2"/>
        <v>1345.5</v>
      </c>
      <c r="L258" s="39">
        <v>88.0</v>
      </c>
      <c r="M258" s="38">
        <f t="shared" si="13"/>
        <v>23680.8</v>
      </c>
      <c r="N258" s="38"/>
      <c r="O258" s="43"/>
      <c r="P258" s="43"/>
      <c r="Q258" s="40">
        <f t="shared" si="69"/>
        <v>3229.2</v>
      </c>
      <c r="R258" s="49">
        <v>46069.0</v>
      </c>
      <c r="S258" s="49">
        <v>46118.0</v>
      </c>
      <c r="T258" s="45" t="s">
        <v>815</v>
      </c>
      <c r="U258" s="39" t="s">
        <v>816</v>
      </c>
      <c r="V258" s="43"/>
      <c r="W258" s="43"/>
      <c r="X258" s="43"/>
      <c r="Y258" s="43"/>
      <c r="Z258" s="43"/>
      <c r="AA258" s="43"/>
      <c r="AB258" s="43"/>
      <c r="AC258" s="43"/>
      <c r="AD258" s="43"/>
      <c r="AE258" s="43"/>
      <c r="AF258" s="43"/>
      <c r="AG258" s="43"/>
      <c r="AH258" s="43"/>
      <c r="AI258" s="43"/>
      <c r="AJ258" s="43"/>
      <c r="AK258" s="43"/>
      <c r="AL258" s="43"/>
    </row>
    <row r="259">
      <c r="A259" s="92" t="b">
        <v>1</v>
      </c>
      <c r="B259" s="113">
        <v>46068.0</v>
      </c>
      <c r="C259" s="18" t="s">
        <v>219</v>
      </c>
      <c r="D259" s="17" t="s">
        <v>817</v>
      </c>
      <c r="E259" s="82" t="s">
        <v>691</v>
      </c>
      <c r="F259" s="82" t="s">
        <v>793</v>
      </c>
      <c r="G259" s="109">
        <v>1717400.0</v>
      </c>
      <c r="H259" s="18" t="s">
        <v>179</v>
      </c>
      <c r="I259" s="18">
        <v>5.0</v>
      </c>
      <c r="J259" s="109">
        <f t="shared" si="82"/>
        <v>85870</v>
      </c>
      <c r="K259" s="109">
        <f t="shared" si="2"/>
        <v>4293.5</v>
      </c>
      <c r="L259" s="18">
        <v>80.0</v>
      </c>
      <c r="M259" s="109">
        <f t="shared" si="13"/>
        <v>68696</v>
      </c>
      <c r="N259" s="109">
        <f>J259*0.08</f>
        <v>6869.6</v>
      </c>
      <c r="O259" s="116"/>
      <c r="P259" s="116"/>
      <c r="Q259" s="110">
        <f t="shared" si="69"/>
        <v>10304.4</v>
      </c>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row>
    <row r="260" hidden="1">
      <c r="A260" s="92" t="b">
        <v>1</v>
      </c>
      <c r="B260" s="46">
        <v>46070.0</v>
      </c>
      <c r="C260" s="39" t="s">
        <v>150</v>
      </c>
      <c r="D260" s="37" t="s">
        <v>818</v>
      </c>
      <c r="E260" s="45" t="s">
        <v>819</v>
      </c>
      <c r="F260" s="45" t="s">
        <v>820</v>
      </c>
      <c r="G260" s="38">
        <v>1873333.5</v>
      </c>
      <c r="H260" s="39" t="s">
        <v>279</v>
      </c>
      <c r="I260" s="39">
        <v>7.0</v>
      </c>
      <c r="J260" s="38">
        <f t="shared" si="82"/>
        <v>131133.345</v>
      </c>
      <c r="K260" s="38">
        <f t="shared" si="2"/>
        <v>6556.66725</v>
      </c>
      <c r="L260" s="39">
        <v>88.0</v>
      </c>
      <c r="M260" s="38">
        <f t="shared" si="13"/>
        <v>115397.3436</v>
      </c>
      <c r="N260" s="38">
        <f>J260*0.01</f>
        <v>1311.33345</v>
      </c>
      <c r="O260" s="43"/>
      <c r="P260" s="43"/>
      <c r="Q260" s="40">
        <f t="shared" si="69"/>
        <v>14424.66795</v>
      </c>
      <c r="R260" s="49">
        <v>46105.0</v>
      </c>
      <c r="S260" s="49">
        <v>46123.0</v>
      </c>
      <c r="T260" s="43"/>
      <c r="U260" s="43"/>
      <c r="V260" s="43"/>
      <c r="W260" s="43"/>
      <c r="X260" s="43"/>
      <c r="Y260" s="43"/>
      <c r="Z260" s="43"/>
      <c r="AA260" s="43"/>
      <c r="AB260" s="43"/>
      <c r="AC260" s="43"/>
      <c r="AD260" s="43"/>
      <c r="AE260" s="43"/>
      <c r="AF260" s="43"/>
      <c r="AG260" s="43"/>
      <c r="AH260" s="43"/>
      <c r="AI260" s="43"/>
      <c r="AJ260" s="43"/>
      <c r="AK260" s="43"/>
      <c r="AL260" s="43"/>
    </row>
    <row r="261">
      <c r="A261" s="115" t="b">
        <v>1</v>
      </c>
      <c r="B261" s="96">
        <v>46070.0</v>
      </c>
      <c r="C261" s="50" t="s">
        <v>219</v>
      </c>
      <c r="D261" s="97" t="s">
        <v>821</v>
      </c>
      <c r="E261" s="55" t="s">
        <v>822</v>
      </c>
      <c r="F261" s="55" t="s">
        <v>793</v>
      </c>
      <c r="G261" s="98">
        <f>188888.14*3.6725</f>
        <v>693691.6942</v>
      </c>
      <c r="H261" s="50" t="s">
        <v>823</v>
      </c>
      <c r="I261" s="50">
        <v>3.0</v>
      </c>
      <c r="J261" s="98">
        <f t="shared" si="82"/>
        <v>20810.75082</v>
      </c>
      <c r="K261" s="98">
        <f t="shared" si="2"/>
        <v>1040.537541</v>
      </c>
      <c r="L261" s="50">
        <v>50.0</v>
      </c>
      <c r="M261" s="98">
        <f t="shared" si="13"/>
        <v>10405.37541</v>
      </c>
      <c r="N261" s="98">
        <f>J261*0.08</f>
        <v>1664.860066</v>
      </c>
      <c r="O261" s="52"/>
      <c r="P261" s="52"/>
      <c r="Q261" s="99">
        <f t="shared" si="69"/>
        <v>8740.515346</v>
      </c>
      <c r="R261" s="111">
        <v>46093.0</v>
      </c>
      <c r="S261" s="52"/>
      <c r="T261" s="55" t="s">
        <v>824</v>
      </c>
      <c r="U261" s="52"/>
      <c r="V261" s="52"/>
      <c r="W261" s="52"/>
      <c r="X261" s="52"/>
      <c r="Y261" s="52"/>
      <c r="Z261" s="52"/>
      <c r="AA261" s="52"/>
      <c r="AB261" s="52"/>
      <c r="AC261" s="52"/>
      <c r="AD261" s="52"/>
      <c r="AE261" s="52"/>
      <c r="AF261" s="52"/>
      <c r="AG261" s="52"/>
      <c r="AH261" s="52"/>
      <c r="AI261" s="52"/>
      <c r="AJ261" s="52"/>
      <c r="AK261" s="52"/>
      <c r="AL261" s="52"/>
    </row>
    <row r="262" hidden="1">
      <c r="A262" s="92" t="b">
        <v>1</v>
      </c>
      <c r="B262" s="46">
        <v>46070.0</v>
      </c>
      <c r="C262" s="39" t="s">
        <v>157</v>
      </c>
      <c r="D262" s="37" t="s">
        <v>825</v>
      </c>
      <c r="E262" s="45" t="s">
        <v>826</v>
      </c>
      <c r="F262" s="45"/>
      <c r="G262" s="38">
        <v>2772000.0</v>
      </c>
      <c r="H262" s="39" t="s">
        <v>784</v>
      </c>
      <c r="I262" s="39">
        <v>4.0</v>
      </c>
      <c r="J262" s="38">
        <f t="shared" si="82"/>
        <v>110880</v>
      </c>
      <c r="K262" s="38">
        <f t="shared" si="2"/>
        <v>5544</v>
      </c>
      <c r="L262" s="39">
        <v>88.0</v>
      </c>
      <c r="M262" s="38">
        <f t="shared" si="13"/>
        <v>97574.4</v>
      </c>
      <c r="N262" s="38"/>
      <c r="O262" s="43"/>
      <c r="P262" s="43"/>
      <c r="Q262" s="40">
        <f t="shared" si="69"/>
        <v>13305.6</v>
      </c>
      <c r="R262" s="49">
        <v>46111.0</v>
      </c>
      <c r="S262" s="49">
        <v>46121.0</v>
      </c>
      <c r="T262" s="43"/>
      <c r="U262" s="43"/>
      <c r="V262" s="43"/>
      <c r="W262" s="43"/>
      <c r="X262" s="43"/>
      <c r="Y262" s="43"/>
      <c r="Z262" s="43"/>
      <c r="AA262" s="43"/>
      <c r="AB262" s="43"/>
      <c r="AC262" s="43"/>
      <c r="AD262" s="43"/>
      <c r="AE262" s="43"/>
      <c r="AF262" s="43"/>
      <c r="AG262" s="43"/>
      <c r="AH262" s="43"/>
      <c r="AI262" s="43"/>
      <c r="AJ262" s="43"/>
      <c r="AK262" s="43"/>
      <c r="AL262" s="43"/>
    </row>
    <row r="263">
      <c r="A263" s="92" t="b">
        <v>1</v>
      </c>
      <c r="B263" s="113">
        <v>46071.0</v>
      </c>
      <c r="C263" s="18" t="s">
        <v>150</v>
      </c>
      <c r="D263" s="17" t="s">
        <v>827</v>
      </c>
      <c r="E263" s="82" t="s">
        <v>828</v>
      </c>
      <c r="F263" s="82"/>
      <c r="G263" s="109">
        <v>3119828.0</v>
      </c>
      <c r="H263" s="18" t="s">
        <v>638</v>
      </c>
      <c r="I263" s="18">
        <v>5.0</v>
      </c>
      <c r="J263" s="109">
        <f t="shared" si="82"/>
        <v>155991.4</v>
      </c>
      <c r="K263" s="109">
        <f t="shared" si="2"/>
        <v>7799.57</v>
      </c>
      <c r="L263" s="18">
        <v>90.0</v>
      </c>
      <c r="M263" s="109">
        <f t="shared" si="13"/>
        <v>140392.26</v>
      </c>
      <c r="N263" s="109"/>
      <c r="O263" s="116"/>
      <c r="P263" s="116"/>
      <c r="Q263" s="110">
        <f t="shared" si="69"/>
        <v>15599.14</v>
      </c>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row>
    <row r="264">
      <c r="A264" s="92" t="b">
        <v>1</v>
      </c>
      <c r="B264" s="113">
        <v>46071.0</v>
      </c>
      <c r="C264" s="18" t="s">
        <v>150</v>
      </c>
      <c r="D264" s="17" t="s">
        <v>827</v>
      </c>
      <c r="E264" s="82" t="s">
        <v>828</v>
      </c>
      <c r="F264" s="82"/>
      <c r="G264" s="109">
        <v>3143828.0</v>
      </c>
      <c r="H264" s="18" t="s">
        <v>638</v>
      </c>
      <c r="I264" s="18">
        <v>5.0</v>
      </c>
      <c r="J264" s="109">
        <f t="shared" si="82"/>
        <v>157191.4</v>
      </c>
      <c r="K264" s="109">
        <f t="shared" si="2"/>
        <v>7859.57</v>
      </c>
      <c r="L264" s="18">
        <v>90.0</v>
      </c>
      <c r="M264" s="109">
        <f t="shared" si="13"/>
        <v>141472.26</v>
      </c>
      <c r="N264" s="109"/>
      <c r="O264" s="116"/>
      <c r="P264" s="116"/>
      <c r="Q264" s="110">
        <f t="shared" si="69"/>
        <v>15719.14</v>
      </c>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row>
    <row r="265">
      <c r="A265" s="92" t="b">
        <v>1</v>
      </c>
      <c r="B265" s="113">
        <v>46077.0</v>
      </c>
      <c r="C265" s="18" t="s">
        <v>150</v>
      </c>
      <c r="D265" s="17" t="s">
        <v>829</v>
      </c>
      <c r="E265" s="82" t="s">
        <v>733</v>
      </c>
      <c r="F265" s="82" t="s">
        <v>44</v>
      </c>
      <c r="G265" s="109">
        <v>1353000.0</v>
      </c>
      <c r="H265" s="18" t="s">
        <v>223</v>
      </c>
      <c r="I265" s="18">
        <v>5.0</v>
      </c>
      <c r="J265" s="109">
        <f t="shared" si="82"/>
        <v>67650</v>
      </c>
      <c r="K265" s="109">
        <f t="shared" si="2"/>
        <v>3382.5</v>
      </c>
      <c r="L265" s="18">
        <v>88.0</v>
      </c>
      <c r="M265" s="109">
        <f t="shared" si="13"/>
        <v>59532</v>
      </c>
      <c r="N265" s="109"/>
      <c r="O265" s="116"/>
      <c r="P265" s="116"/>
      <c r="Q265" s="110">
        <f t="shared" si="69"/>
        <v>8118</v>
      </c>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row>
    <row r="266">
      <c r="A266" s="115" t="b">
        <v>1</v>
      </c>
      <c r="B266" s="96">
        <v>46078.0</v>
      </c>
      <c r="C266" s="50" t="s">
        <v>150</v>
      </c>
      <c r="D266" s="97" t="s">
        <v>830</v>
      </c>
      <c r="E266" s="55" t="s">
        <v>831</v>
      </c>
      <c r="F266" s="55"/>
      <c r="G266" s="98">
        <f t="shared" ref="G266:G267" si="87">346515.25*3.6725</f>
        <v>1272577.256</v>
      </c>
      <c r="H266" s="50" t="s">
        <v>174</v>
      </c>
      <c r="I266" s="50">
        <v>3.0</v>
      </c>
      <c r="J266" s="98">
        <f t="shared" si="82"/>
        <v>38177.31767</v>
      </c>
      <c r="K266" s="98">
        <f t="shared" si="2"/>
        <v>1908.865883</v>
      </c>
      <c r="L266" s="50">
        <v>88.0</v>
      </c>
      <c r="M266" s="98">
        <f t="shared" si="13"/>
        <v>33596.03955</v>
      </c>
      <c r="N266" s="98"/>
      <c r="O266" s="52"/>
      <c r="P266" s="52"/>
      <c r="Q266" s="99">
        <f t="shared" si="69"/>
        <v>4581.27812</v>
      </c>
      <c r="R266" s="111">
        <v>46093.0</v>
      </c>
      <c r="S266" s="52"/>
      <c r="T266" s="55" t="s">
        <v>824</v>
      </c>
      <c r="U266" s="52"/>
      <c r="V266" s="52"/>
      <c r="W266" s="52"/>
      <c r="X266" s="52"/>
      <c r="Y266" s="52"/>
      <c r="Z266" s="52"/>
      <c r="AA266" s="52"/>
      <c r="AB266" s="52"/>
      <c r="AC266" s="52"/>
      <c r="AD266" s="52"/>
      <c r="AE266" s="52"/>
      <c r="AF266" s="52"/>
      <c r="AG266" s="52"/>
      <c r="AH266" s="52"/>
      <c r="AI266" s="52"/>
      <c r="AJ266" s="52"/>
      <c r="AK266" s="52"/>
      <c r="AL266" s="52"/>
    </row>
    <row r="267">
      <c r="A267" s="115" t="b">
        <v>1</v>
      </c>
      <c r="B267" s="96">
        <v>46078.0</v>
      </c>
      <c r="C267" s="50" t="s">
        <v>150</v>
      </c>
      <c r="D267" s="97" t="s">
        <v>832</v>
      </c>
      <c r="E267" s="55" t="s">
        <v>831</v>
      </c>
      <c r="F267" s="55"/>
      <c r="G267" s="98">
        <f t="shared" si="87"/>
        <v>1272577.256</v>
      </c>
      <c r="H267" s="50" t="s">
        <v>174</v>
      </c>
      <c r="I267" s="50">
        <v>3.0</v>
      </c>
      <c r="J267" s="98">
        <f t="shared" si="82"/>
        <v>38177.31767</v>
      </c>
      <c r="K267" s="98">
        <f t="shared" si="2"/>
        <v>1908.865883</v>
      </c>
      <c r="L267" s="50">
        <v>88.0</v>
      </c>
      <c r="M267" s="98">
        <f t="shared" si="13"/>
        <v>33596.03955</v>
      </c>
      <c r="N267" s="98"/>
      <c r="O267" s="52"/>
      <c r="P267" s="52"/>
      <c r="Q267" s="99">
        <f t="shared" si="69"/>
        <v>4581.27812</v>
      </c>
      <c r="R267" s="111">
        <v>46093.0</v>
      </c>
      <c r="S267" s="52"/>
      <c r="T267" s="55" t="s">
        <v>824</v>
      </c>
      <c r="U267" s="52"/>
      <c r="V267" s="52"/>
      <c r="W267" s="52"/>
      <c r="X267" s="52"/>
      <c r="Y267" s="52"/>
      <c r="Z267" s="52"/>
      <c r="AA267" s="52"/>
      <c r="AB267" s="52"/>
      <c r="AC267" s="52"/>
      <c r="AD267" s="52"/>
      <c r="AE267" s="52"/>
      <c r="AF267" s="52"/>
      <c r="AG267" s="52"/>
      <c r="AH267" s="52"/>
      <c r="AI267" s="52"/>
      <c r="AJ267" s="52"/>
      <c r="AK267" s="52"/>
      <c r="AL267" s="52"/>
    </row>
    <row r="268">
      <c r="A268" s="92" t="b">
        <v>1</v>
      </c>
      <c r="B268" s="113">
        <v>46079.0</v>
      </c>
      <c r="C268" s="18" t="s">
        <v>219</v>
      </c>
      <c r="D268" s="17" t="s">
        <v>833</v>
      </c>
      <c r="E268" s="82" t="s">
        <v>834</v>
      </c>
      <c r="F268" s="82" t="s">
        <v>793</v>
      </c>
      <c r="G268" s="109">
        <v>2757400.0</v>
      </c>
      <c r="H268" s="18" t="s">
        <v>185</v>
      </c>
      <c r="I268" s="18">
        <v>4.0</v>
      </c>
      <c r="J268" s="109">
        <f t="shared" si="82"/>
        <v>110296</v>
      </c>
      <c r="K268" s="109">
        <f t="shared" si="2"/>
        <v>5514.8</v>
      </c>
      <c r="L268" s="18">
        <v>80.0</v>
      </c>
      <c r="M268" s="109">
        <f t="shared" si="13"/>
        <v>88236.8</v>
      </c>
      <c r="N268" s="109">
        <f>J268*0.08</f>
        <v>8823.68</v>
      </c>
      <c r="O268" s="116"/>
      <c r="P268" s="116"/>
      <c r="Q268" s="110">
        <f t="shared" si="69"/>
        <v>13235.52</v>
      </c>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row>
    <row r="269">
      <c r="A269" s="92" t="b">
        <v>1</v>
      </c>
      <c r="B269" s="113">
        <v>46080.0</v>
      </c>
      <c r="C269" s="18" t="s">
        <v>150</v>
      </c>
      <c r="D269" s="17" t="s">
        <v>835</v>
      </c>
      <c r="E269" s="82" t="s">
        <v>203</v>
      </c>
      <c r="F269" s="82" t="s">
        <v>44</v>
      </c>
      <c r="G269" s="109">
        <v>3286888.0</v>
      </c>
      <c r="H269" s="18" t="s">
        <v>594</v>
      </c>
      <c r="I269" s="18">
        <v>4.0</v>
      </c>
      <c r="J269" s="109">
        <f t="shared" si="82"/>
        <v>131475.52</v>
      </c>
      <c r="K269" s="109">
        <f t="shared" si="2"/>
        <v>6573.776</v>
      </c>
      <c r="L269" s="18">
        <v>88.0</v>
      </c>
      <c r="M269" s="109">
        <f t="shared" si="13"/>
        <v>115698.4576</v>
      </c>
      <c r="N269" s="116"/>
      <c r="O269" s="116"/>
      <c r="P269" s="116"/>
      <c r="Q269" s="110">
        <f t="shared" si="69"/>
        <v>15777.0624</v>
      </c>
      <c r="R269" s="116"/>
      <c r="S269" s="116"/>
      <c r="T269" s="116"/>
      <c r="U269" s="116"/>
      <c r="V269" s="116"/>
      <c r="W269" s="116"/>
      <c r="X269" s="116"/>
      <c r="Y269" s="116"/>
    </row>
    <row r="270">
      <c r="A270" s="92" t="b">
        <v>1</v>
      </c>
      <c r="B270" s="113">
        <v>46080.0</v>
      </c>
      <c r="C270" s="18" t="s">
        <v>150</v>
      </c>
      <c r="D270" s="17" t="s">
        <v>836</v>
      </c>
      <c r="E270" s="82" t="s">
        <v>837</v>
      </c>
      <c r="F270" s="82" t="s">
        <v>44</v>
      </c>
      <c r="G270" s="109">
        <v>6623828.0</v>
      </c>
      <c r="H270" s="18" t="s">
        <v>191</v>
      </c>
      <c r="I270" s="18">
        <v>5.0</v>
      </c>
      <c r="J270" s="109">
        <f t="shared" si="82"/>
        <v>331191.4</v>
      </c>
      <c r="K270" s="109">
        <f t="shared" si="2"/>
        <v>16559.57</v>
      </c>
      <c r="L270" s="18">
        <v>91.0</v>
      </c>
      <c r="M270" s="109">
        <f t="shared" si="13"/>
        <v>301384.174</v>
      </c>
      <c r="N270" s="109"/>
      <c r="O270" s="116"/>
      <c r="P270" s="116"/>
      <c r="Q270" s="110">
        <f t="shared" si="69"/>
        <v>29807.226</v>
      </c>
      <c r="R270" s="116"/>
      <c r="S270" s="116"/>
      <c r="T270" s="116"/>
      <c r="U270" s="116"/>
      <c r="V270" s="116"/>
      <c r="W270" s="116"/>
      <c r="X270" s="116"/>
      <c r="Y270" s="116"/>
    </row>
    <row r="271">
      <c r="A271" s="92" t="b">
        <v>1</v>
      </c>
      <c r="B271" s="113">
        <v>46080.0</v>
      </c>
      <c r="C271" s="18" t="s">
        <v>150</v>
      </c>
      <c r="D271" s="17" t="s">
        <v>836</v>
      </c>
      <c r="E271" s="82" t="s">
        <v>837</v>
      </c>
      <c r="F271" s="82" t="s">
        <v>44</v>
      </c>
      <c r="G271" s="109">
        <v>7274828.0</v>
      </c>
      <c r="H271" s="18" t="s">
        <v>191</v>
      </c>
      <c r="I271" s="18">
        <v>5.0</v>
      </c>
      <c r="J271" s="109">
        <f t="shared" si="82"/>
        <v>363741.4</v>
      </c>
      <c r="K271" s="109">
        <f t="shared" si="2"/>
        <v>18187.07</v>
      </c>
      <c r="L271" s="18">
        <v>91.0</v>
      </c>
      <c r="M271" s="109">
        <f t="shared" si="13"/>
        <v>331004.674</v>
      </c>
      <c r="N271" s="109"/>
      <c r="O271" s="116"/>
      <c r="P271" s="116"/>
      <c r="Q271" s="110">
        <f t="shared" si="69"/>
        <v>32736.726</v>
      </c>
      <c r="R271" s="116"/>
      <c r="S271" s="116"/>
      <c r="T271" s="116"/>
      <c r="U271" s="116"/>
      <c r="V271" s="116"/>
      <c r="W271" s="116"/>
      <c r="X271" s="116"/>
      <c r="Y271" s="116"/>
    </row>
    <row r="272">
      <c r="A272" s="92" t="b">
        <v>1</v>
      </c>
      <c r="B272" s="113">
        <v>46093.0</v>
      </c>
      <c r="C272" s="18" t="s">
        <v>150</v>
      </c>
      <c r="D272" s="82" t="s">
        <v>838</v>
      </c>
      <c r="E272" s="82" t="s">
        <v>152</v>
      </c>
      <c r="F272" s="82" t="s">
        <v>44</v>
      </c>
      <c r="G272" s="109">
        <v>1605721.0</v>
      </c>
      <c r="H272" s="18" t="s">
        <v>839</v>
      </c>
      <c r="I272" s="18">
        <v>5.0</v>
      </c>
      <c r="J272" s="109">
        <f t="shared" si="82"/>
        <v>80286.05</v>
      </c>
      <c r="K272" s="109">
        <f t="shared" si="2"/>
        <v>4014.3025</v>
      </c>
      <c r="L272" s="18">
        <v>90.0</v>
      </c>
      <c r="M272" s="109">
        <f t="shared" si="13"/>
        <v>72257.445</v>
      </c>
      <c r="N272" s="116"/>
      <c r="O272" s="116"/>
      <c r="P272" s="116"/>
      <c r="Q272" s="110">
        <f t="shared" si="69"/>
        <v>8028.605</v>
      </c>
      <c r="R272" s="116"/>
      <c r="S272" s="116"/>
      <c r="T272" s="116"/>
      <c r="U272" s="116"/>
      <c r="V272" s="116"/>
      <c r="W272" s="116"/>
      <c r="X272" s="116"/>
      <c r="Y272" s="116"/>
    </row>
    <row r="273">
      <c r="A273" s="115" t="b">
        <v>1</v>
      </c>
      <c r="B273" s="96">
        <v>46094.0</v>
      </c>
      <c r="C273" s="50" t="s">
        <v>150</v>
      </c>
      <c r="D273" s="55" t="s">
        <v>840</v>
      </c>
      <c r="E273" s="55" t="s">
        <v>355</v>
      </c>
      <c r="F273" s="55" t="s">
        <v>841</v>
      </c>
      <c r="G273" s="98">
        <v>1331810.0</v>
      </c>
      <c r="H273" s="50" t="s">
        <v>223</v>
      </c>
      <c r="I273" s="50">
        <v>5.0</v>
      </c>
      <c r="J273" s="98">
        <f t="shared" si="82"/>
        <v>66590.5</v>
      </c>
      <c r="K273" s="98">
        <f t="shared" si="2"/>
        <v>3329.525</v>
      </c>
      <c r="L273" s="50">
        <v>88.0</v>
      </c>
      <c r="M273" s="98">
        <f t="shared" si="13"/>
        <v>58599.64</v>
      </c>
      <c r="N273" s="98">
        <f>J273*0.01</f>
        <v>665.905</v>
      </c>
      <c r="O273" s="52"/>
      <c r="P273" s="52"/>
      <c r="Q273" s="99">
        <f t="shared" si="69"/>
        <v>7324.955</v>
      </c>
      <c r="R273" s="111">
        <v>46094.0</v>
      </c>
      <c r="S273" s="52"/>
      <c r="T273" s="52"/>
      <c r="U273" s="52"/>
      <c r="V273" s="52"/>
      <c r="W273" s="52"/>
      <c r="X273" s="52"/>
      <c r="Y273" s="52"/>
      <c r="Z273" s="53"/>
      <c r="AA273" s="53"/>
      <c r="AB273" s="53"/>
      <c r="AC273" s="53"/>
      <c r="AD273" s="53"/>
      <c r="AE273" s="53"/>
      <c r="AF273" s="53"/>
      <c r="AG273" s="53"/>
      <c r="AH273" s="53"/>
      <c r="AI273" s="53"/>
      <c r="AJ273" s="53"/>
      <c r="AK273" s="53"/>
      <c r="AL273" s="53"/>
    </row>
    <row r="274">
      <c r="A274" s="115" t="b">
        <v>1</v>
      </c>
      <c r="B274" s="100">
        <v>46108.0</v>
      </c>
      <c r="C274" s="101" t="s">
        <v>150</v>
      </c>
      <c r="D274" s="5" t="s">
        <v>827</v>
      </c>
      <c r="E274" s="82" t="s">
        <v>828</v>
      </c>
      <c r="F274" s="82" t="s">
        <v>44</v>
      </c>
      <c r="G274" s="109">
        <v>2264828.0</v>
      </c>
      <c r="H274" s="18" t="s">
        <v>638</v>
      </c>
      <c r="I274" s="117">
        <v>5.0</v>
      </c>
      <c r="J274" s="109">
        <f t="shared" si="82"/>
        <v>113241.4</v>
      </c>
      <c r="K274" s="109">
        <f t="shared" si="2"/>
        <v>5662.07</v>
      </c>
      <c r="L274" s="117">
        <v>88.0</v>
      </c>
      <c r="M274" s="109">
        <f t="shared" si="13"/>
        <v>99652.432</v>
      </c>
      <c r="N274" s="116"/>
      <c r="O274" s="116"/>
      <c r="P274" s="116"/>
      <c r="Q274" s="110">
        <f t="shared" si="69"/>
        <v>13588.968</v>
      </c>
      <c r="R274" s="116"/>
      <c r="S274" s="116"/>
      <c r="T274" s="116"/>
      <c r="U274" s="116"/>
      <c r="V274" s="116"/>
      <c r="W274" s="116"/>
      <c r="X274" s="116"/>
      <c r="Y274" s="116"/>
    </row>
    <row r="275">
      <c r="A275" s="115" t="b">
        <v>1</v>
      </c>
      <c r="B275" s="100">
        <v>46109.0</v>
      </c>
      <c r="C275" s="101" t="s">
        <v>150</v>
      </c>
      <c r="D275" s="82" t="s">
        <v>842</v>
      </c>
      <c r="E275" s="82" t="s">
        <v>200</v>
      </c>
      <c r="F275" s="82" t="s">
        <v>295</v>
      </c>
      <c r="G275" s="109">
        <v>458417.0</v>
      </c>
      <c r="H275" s="117" t="s">
        <v>284</v>
      </c>
      <c r="I275" s="117">
        <v>5.0</v>
      </c>
      <c r="J275" s="109">
        <f t="shared" si="82"/>
        <v>22920.85</v>
      </c>
      <c r="K275" s="109">
        <f t="shared" si="2"/>
        <v>1146.0425</v>
      </c>
      <c r="L275" s="117">
        <v>80.0</v>
      </c>
      <c r="M275" s="109">
        <f t="shared" si="13"/>
        <v>18336.68</v>
      </c>
      <c r="N275" s="109">
        <f>J275*0.08</f>
        <v>1833.668</v>
      </c>
      <c r="O275" s="116"/>
      <c r="P275" s="116"/>
      <c r="Q275" s="110">
        <f t="shared" si="69"/>
        <v>2750.502</v>
      </c>
      <c r="R275" s="116"/>
      <c r="S275" s="116"/>
      <c r="T275" s="116"/>
      <c r="U275" s="116"/>
      <c r="V275" s="116"/>
      <c r="W275" s="116"/>
      <c r="X275" s="116"/>
      <c r="Y275" s="116"/>
    </row>
    <row r="276">
      <c r="A276" s="115" t="b">
        <v>1</v>
      </c>
      <c r="B276" s="118">
        <v>46111.0</v>
      </c>
      <c r="C276" s="101" t="s">
        <v>150</v>
      </c>
      <c r="D276" s="82" t="s">
        <v>843</v>
      </c>
      <c r="E276" s="82" t="s">
        <v>844</v>
      </c>
      <c r="F276" s="82" t="s">
        <v>788</v>
      </c>
      <c r="G276" s="109">
        <v>748000.0</v>
      </c>
      <c r="H276" s="117" t="s">
        <v>734</v>
      </c>
      <c r="I276" s="117">
        <v>5.0</v>
      </c>
      <c r="J276" s="109">
        <f t="shared" si="82"/>
        <v>37400</v>
      </c>
      <c r="K276" s="109">
        <f t="shared" si="2"/>
        <v>1870</v>
      </c>
      <c r="L276" s="117">
        <v>88.0</v>
      </c>
      <c r="M276" s="109">
        <f t="shared" si="13"/>
        <v>32912</v>
      </c>
      <c r="N276" s="109">
        <f>J276*0.02</f>
        <v>748</v>
      </c>
      <c r="O276" s="116"/>
      <c r="P276" s="116"/>
      <c r="Q276" s="110">
        <f t="shared" si="69"/>
        <v>3740</v>
      </c>
      <c r="R276" s="116"/>
      <c r="S276" s="116"/>
      <c r="T276" s="116"/>
      <c r="U276" s="116"/>
      <c r="V276" s="116"/>
      <c r="W276" s="116"/>
      <c r="X276" s="116"/>
      <c r="Y276" s="116"/>
    </row>
    <row r="277">
      <c r="A277" s="115" t="b">
        <v>1</v>
      </c>
      <c r="B277" s="112">
        <v>46119.0</v>
      </c>
      <c r="C277" s="50" t="s">
        <v>150</v>
      </c>
      <c r="D277" s="55" t="s">
        <v>845</v>
      </c>
      <c r="E277" s="55" t="s">
        <v>846</v>
      </c>
      <c r="F277" s="52"/>
      <c r="G277" s="98">
        <v>1345823.0</v>
      </c>
      <c r="H277" s="50" t="s">
        <v>806</v>
      </c>
      <c r="I277" s="50">
        <v>5.0</v>
      </c>
      <c r="J277" s="98">
        <f t="shared" si="82"/>
        <v>67291.15</v>
      </c>
      <c r="K277" s="98">
        <f t="shared" si="2"/>
        <v>3364.5575</v>
      </c>
      <c r="L277" s="50">
        <v>88.0</v>
      </c>
      <c r="M277" s="98">
        <f t="shared" si="13"/>
        <v>59216.212</v>
      </c>
      <c r="N277" s="98"/>
      <c r="O277" s="52"/>
      <c r="P277" s="52"/>
      <c r="Q277" s="99">
        <f t="shared" si="69"/>
        <v>8074.938</v>
      </c>
      <c r="R277" s="111">
        <v>46125.0</v>
      </c>
      <c r="S277" s="52"/>
      <c r="T277" s="52"/>
      <c r="U277" s="52"/>
      <c r="V277" s="52"/>
      <c r="W277" s="52"/>
      <c r="X277" s="52"/>
      <c r="Y277" s="52"/>
      <c r="Z277" s="53"/>
      <c r="AA277" s="53"/>
      <c r="AB277" s="53"/>
      <c r="AC277" s="53"/>
      <c r="AD277" s="53"/>
      <c r="AE277" s="53"/>
      <c r="AF277" s="53"/>
      <c r="AG277" s="53"/>
      <c r="AH277" s="53"/>
      <c r="AI277" s="53"/>
      <c r="AJ277" s="53"/>
      <c r="AK277" s="53"/>
      <c r="AL277" s="53"/>
    </row>
    <row r="278">
      <c r="A278" s="115" t="b">
        <v>1</v>
      </c>
      <c r="B278" s="118">
        <v>46123.0</v>
      </c>
      <c r="C278" s="101" t="s">
        <v>219</v>
      </c>
      <c r="D278" s="82" t="s">
        <v>847</v>
      </c>
      <c r="E278" s="82" t="s">
        <v>570</v>
      </c>
      <c r="F278" s="82" t="s">
        <v>848</v>
      </c>
      <c r="G278" s="109">
        <v>2761486.0</v>
      </c>
      <c r="H278" s="117" t="s">
        <v>191</v>
      </c>
      <c r="I278" s="117">
        <v>5.0</v>
      </c>
      <c r="J278" s="109">
        <f t="shared" si="82"/>
        <v>138074.3</v>
      </c>
      <c r="K278" s="109">
        <f t="shared" si="2"/>
        <v>6903.715</v>
      </c>
      <c r="L278" s="117">
        <v>80.0</v>
      </c>
      <c r="M278" s="109">
        <f t="shared" si="13"/>
        <v>110459.44</v>
      </c>
      <c r="N278" s="109">
        <f>J278*0.06</f>
        <v>8284.458</v>
      </c>
      <c r="O278" s="116"/>
      <c r="P278" s="116"/>
      <c r="Q278" s="110">
        <f t="shared" si="69"/>
        <v>19330.402</v>
      </c>
      <c r="R278" s="116"/>
      <c r="S278" s="116"/>
      <c r="T278" s="116"/>
      <c r="U278" s="116"/>
      <c r="V278" s="116"/>
      <c r="W278" s="116"/>
      <c r="X278" s="116"/>
      <c r="Y278" s="116"/>
    </row>
  </sheetData>
  <autoFilter ref="$A$1:$Y$278">
    <filterColumn colId="18">
      <filters blank="1"/>
    </filterColumn>
  </autoFilter>
  <customSheetViews>
    <customSheetView guid="{DBDD2CFC-C01A-4AA0-9270-B4A7006DEB78}" filter="1" showAutoFilter="1">
      <autoFilter ref="$A$1:$Y$273"/>
    </customSheetView>
  </customSheetViews>
  <dataValidations>
    <dataValidation type="list" allowBlank="1" showErrorMessage="1" sqref="C2:C278">
      <formula1>"Real Estate,Partnership,CB"</formula1>
    </dataValidation>
  </dataValidations>
  <printOptions gridLines="1" horizontalCentered="1"/>
  <pageMargins bottom="0.75" footer="0.0" header="0.0" left="0.25" right="0.25"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5.11"/>
    <col customWidth="1" min="2" max="2" width="18.22"/>
    <col customWidth="1" min="4" max="4" width="15.67"/>
    <col customWidth="1" min="6" max="6" width="15.11"/>
    <col customWidth="1" min="7" max="7" width="17.0"/>
    <col customWidth="1" min="8" max="8" width="14.67"/>
  </cols>
  <sheetData>
    <row r="1">
      <c r="A1" s="119" t="s">
        <v>853</v>
      </c>
      <c r="B1" s="120" t="s">
        <v>854</v>
      </c>
      <c r="C1" s="121" t="s">
        <v>4</v>
      </c>
      <c r="D1" s="122" t="s">
        <v>855</v>
      </c>
      <c r="F1" s="123" t="s">
        <v>853</v>
      </c>
      <c r="G1" s="117" t="s">
        <v>854</v>
      </c>
      <c r="H1" s="123" t="s">
        <v>855</v>
      </c>
    </row>
    <row r="2">
      <c r="A2" s="119" t="s">
        <v>200</v>
      </c>
      <c r="B2" s="120">
        <v>11.0</v>
      </c>
      <c r="C2" s="121">
        <v>1.3835942E7</v>
      </c>
      <c r="D2" s="122" t="s">
        <v>856</v>
      </c>
      <c r="F2" s="124" t="s">
        <v>857</v>
      </c>
      <c r="G2" s="125">
        <v>11.0</v>
      </c>
      <c r="H2" s="126" t="s">
        <v>858</v>
      </c>
    </row>
    <row r="3">
      <c r="A3" s="119" t="s">
        <v>859</v>
      </c>
      <c r="B3" s="120">
        <v>4.0</v>
      </c>
      <c r="C3" s="121">
        <v>2800000.0</v>
      </c>
      <c r="D3" s="122" t="s">
        <v>856</v>
      </c>
      <c r="F3" s="127" t="s">
        <v>860</v>
      </c>
      <c r="G3" s="128">
        <v>6.0</v>
      </c>
      <c r="H3" s="129" t="s">
        <v>858</v>
      </c>
    </row>
    <row r="4">
      <c r="A4" s="119" t="s">
        <v>681</v>
      </c>
      <c r="B4" s="120">
        <v>3.0</v>
      </c>
      <c r="C4" s="121">
        <v>2263055.0</v>
      </c>
      <c r="D4" s="122" t="s">
        <v>856</v>
      </c>
      <c r="F4" s="130" t="s">
        <v>861</v>
      </c>
      <c r="G4" s="125">
        <v>6.0</v>
      </c>
      <c r="H4" s="126" t="s">
        <v>858</v>
      </c>
    </row>
    <row r="5">
      <c r="A5" s="119" t="s">
        <v>623</v>
      </c>
      <c r="B5" s="120">
        <v>3.0</v>
      </c>
      <c r="C5" s="121">
        <v>5272591.0</v>
      </c>
      <c r="D5" s="122" t="s">
        <v>856</v>
      </c>
      <c r="F5" s="131" t="s">
        <v>862</v>
      </c>
      <c r="G5" s="132">
        <v>4.0</v>
      </c>
      <c r="H5" s="129" t="s">
        <v>858</v>
      </c>
    </row>
    <row r="6">
      <c r="A6" s="119" t="s">
        <v>237</v>
      </c>
      <c r="B6" s="120">
        <v>3.0</v>
      </c>
      <c r="C6" s="121">
        <v>2215924.0</v>
      </c>
      <c r="D6" s="122" t="s">
        <v>856</v>
      </c>
      <c r="F6" s="124" t="s">
        <v>863</v>
      </c>
      <c r="G6" s="125">
        <v>4.0</v>
      </c>
      <c r="H6" s="126" t="s">
        <v>858</v>
      </c>
    </row>
    <row r="7">
      <c r="A7" s="119" t="s">
        <v>203</v>
      </c>
      <c r="B7" s="120">
        <v>2.0</v>
      </c>
      <c r="C7" s="121">
        <v>7697000.0</v>
      </c>
      <c r="D7" s="122" t="s">
        <v>856</v>
      </c>
      <c r="F7" s="133" t="s">
        <v>864</v>
      </c>
      <c r="G7" s="132">
        <v>3.0</v>
      </c>
      <c r="H7" s="129" t="s">
        <v>858</v>
      </c>
    </row>
    <row r="8">
      <c r="A8" s="119" t="s">
        <v>558</v>
      </c>
      <c r="B8" s="120">
        <v>2.0</v>
      </c>
      <c r="C8" s="121">
        <v>9127000.0</v>
      </c>
      <c r="D8" s="122" t="s">
        <v>856</v>
      </c>
      <c r="F8" s="134" t="s">
        <v>865</v>
      </c>
      <c r="G8" s="125">
        <v>3.0</v>
      </c>
      <c r="H8" s="126" t="s">
        <v>858</v>
      </c>
    </row>
    <row r="9">
      <c r="A9" s="119" t="s">
        <v>540</v>
      </c>
      <c r="B9" s="120">
        <v>2.0</v>
      </c>
      <c r="C9" s="121">
        <v>2423968.0</v>
      </c>
      <c r="D9" s="122" t="s">
        <v>856</v>
      </c>
      <c r="F9" s="127" t="s">
        <v>866</v>
      </c>
      <c r="G9" s="128">
        <v>3.0</v>
      </c>
      <c r="H9" s="129" t="s">
        <v>858</v>
      </c>
    </row>
    <row r="10">
      <c r="A10" s="119" t="s">
        <v>579</v>
      </c>
      <c r="B10" s="120">
        <v>2.0</v>
      </c>
      <c r="C10" s="121">
        <v>2.6896728E7</v>
      </c>
      <c r="D10" s="122" t="s">
        <v>856</v>
      </c>
      <c r="F10" s="134" t="s">
        <v>867</v>
      </c>
      <c r="G10" s="125">
        <v>3.0</v>
      </c>
      <c r="H10" s="126" t="s">
        <v>858</v>
      </c>
    </row>
    <row r="11">
      <c r="A11" s="119" t="s">
        <v>249</v>
      </c>
      <c r="B11" s="120">
        <v>1.0</v>
      </c>
      <c r="C11" s="121">
        <v>1583680.0</v>
      </c>
      <c r="D11" s="122" t="s">
        <v>856</v>
      </c>
      <c r="F11" s="127" t="s">
        <v>868</v>
      </c>
      <c r="G11" s="128">
        <v>2.0</v>
      </c>
      <c r="H11" s="129" t="s">
        <v>858</v>
      </c>
    </row>
    <row r="12">
      <c r="A12" s="119" t="s">
        <v>559</v>
      </c>
      <c r="B12" s="120">
        <v>1.0</v>
      </c>
      <c r="C12" s="121">
        <v>5141000.0</v>
      </c>
      <c r="D12" s="122" t="s">
        <v>856</v>
      </c>
      <c r="F12" s="124" t="s">
        <v>869</v>
      </c>
      <c r="G12" s="125">
        <v>2.0</v>
      </c>
      <c r="H12" s="126" t="s">
        <v>858</v>
      </c>
    </row>
    <row r="13">
      <c r="A13" s="119" t="s">
        <v>613</v>
      </c>
      <c r="B13" s="120">
        <v>1.0</v>
      </c>
      <c r="C13" s="121">
        <v>985777.0</v>
      </c>
      <c r="D13" s="122" t="s">
        <v>856</v>
      </c>
      <c r="F13" s="127" t="s">
        <v>870</v>
      </c>
      <c r="G13" s="128">
        <v>2.0</v>
      </c>
      <c r="H13" s="129" t="s">
        <v>858</v>
      </c>
    </row>
    <row r="14">
      <c r="A14" s="119" t="s">
        <v>563</v>
      </c>
      <c r="B14" s="120">
        <v>1.0</v>
      </c>
      <c r="C14" s="121">
        <v>500000.0</v>
      </c>
      <c r="D14" s="122" t="s">
        <v>856</v>
      </c>
      <c r="F14" s="124" t="s">
        <v>871</v>
      </c>
      <c r="G14" s="125">
        <v>2.0</v>
      </c>
      <c r="H14" s="126" t="s">
        <v>858</v>
      </c>
    </row>
    <row r="15">
      <c r="A15" s="119" t="s">
        <v>295</v>
      </c>
      <c r="B15" s="120">
        <v>1.0</v>
      </c>
      <c r="C15" s="121">
        <v>2273340.0</v>
      </c>
      <c r="D15" s="122" t="s">
        <v>856</v>
      </c>
      <c r="F15" s="127" t="s">
        <v>872</v>
      </c>
      <c r="G15" s="135">
        <v>2.0</v>
      </c>
      <c r="H15" s="129" t="s">
        <v>858</v>
      </c>
    </row>
    <row r="16">
      <c r="A16" s="119" t="s">
        <v>470</v>
      </c>
      <c r="B16" s="120">
        <v>1.0</v>
      </c>
      <c r="C16" s="121">
        <v>1271711.11</v>
      </c>
      <c r="D16" s="122" t="s">
        <v>856</v>
      </c>
      <c r="F16" s="124" t="s">
        <v>873</v>
      </c>
      <c r="G16" s="125">
        <v>2.0</v>
      </c>
      <c r="H16" s="126" t="s">
        <v>858</v>
      </c>
    </row>
    <row r="17">
      <c r="A17" s="119" t="s">
        <v>552</v>
      </c>
      <c r="B17" s="120">
        <v>1.0</v>
      </c>
      <c r="C17" s="121">
        <v>2118490.0</v>
      </c>
      <c r="D17" s="122" t="s">
        <v>856</v>
      </c>
      <c r="F17" s="127" t="s">
        <v>874</v>
      </c>
      <c r="G17" s="128">
        <v>2.0</v>
      </c>
      <c r="H17" s="129" t="s">
        <v>858</v>
      </c>
    </row>
    <row r="18">
      <c r="A18" s="119" t="s">
        <v>698</v>
      </c>
      <c r="B18" s="120">
        <v>1.0</v>
      </c>
      <c r="C18" s="121">
        <v>1.090546374E7</v>
      </c>
      <c r="D18" s="122" t="s">
        <v>856</v>
      </c>
      <c r="F18" s="134" t="s">
        <v>875</v>
      </c>
      <c r="G18" s="125">
        <v>2.0</v>
      </c>
      <c r="H18" s="126" t="s">
        <v>858</v>
      </c>
    </row>
    <row r="19">
      <c r="A19" s="119" t="s">
        <v>434</v>
      </c>
      <c r="B19" s="120">
        <v>1.0</v>
      </c>
      <c r="C19" s="121">
        <v>1200000.0</v>
      </c>
      <c r="D19" s="122" t="s">
        <v>856</v>
      </c>
      <c r="F19" s="133" t="s">
        <v>876</v>
      </c>
      <c r="G19" s="132">
        <v>1.0</v>
      </c>
      <c r="H19" s="129" t="s">
        <v>858</v>
      </c>
    </row>
    <row r="20">
      <c r="A20" s="119" t="s">
        <v>461</v>
      </c>
      <c r="B20" s="120">
        <v>1.0</v>
      </c>
      <c r="C20" s="121">
        <v>1626490.0</v>
      </c>
      <c r="D20" s="122" t="s">
        <v>856</v>
      </c>
      <c r="F20" s="134" t="s">
        <v>877</v>
      </c>
      <c r="G20" s="125">
        <v>1.0</v>
      </c>
      <c r="H20" s="126" t="s">
        <v>858</v>
      </c>
    </row>
    <row r="21">
      <c r="A21" s="119" t="s">
        <v>592</v>
      </c>
      <c r="B21" s="120">
        <v>1.0</v>
      </c>
      <c r="C21" s="121">
        <v>1119334.0</v>
      </c>
      <c r="D21" s="122" t="s">
        <v>856</v>
      </c>
      <c r="F21" s="133" t="s">
        <v>878</v>
      </c>
      <c r="G21" s="132">
        <v>1.0</v>
      </c>
      <c r="H21" s="129" t="s">
        <v>858</v>
      </c>
    </row>
    <row r="22">
      <c r="A22" s="119" t="s">
        <v>633</v>
      </c>
      <c r="B22" s="120">
        <v>1.0</v>
      </c>
      <c r="C22" s="121">
        <v>3808063.0</v>
      </c>
      <c r="D22" s="122" t="s">
        <v>856</v>
      </c>
      <c r="F22" s="134" t="s">
        <v>879</v>
      </c>
      <c r="G22" s="125">
        <v>1.0</v>
      </c>
      <c r="H22" s="126" t="s">
        <v>858</v>
      </c>
    </row>
    <row r="23">
      <c r="A23" s="119" t="s">
        <v>475</v>
      </c>
      <c r="B23" s="120">
        <v>1.0</v>
      </c>
      <c r="C23" s="121">
        <v>663625.0</v>
      </c>
      <c r="D23" s="122" t="s">
        <v>856</v>
      </c>
      <c r="F23" s="133" t="s">
        <v>880</v>
      </c>
      <c r="G23" s="132">
        <v>1.0</v>
      </c>
      <c r="H23" s="129" t="s">
        <v>858</v>
      </c>
    </row>
    <row r="24">
      <c r="A24" s="119" t="s">
        <v>714</v>
      </c>
      <c r="B24" s="120">
        <v>1.0</v>
      </c>
      <c r="C24" s="121">
        <v>1447000.0</v>
      </c>
      <c r="D24" s="122" t="s">
        <v>856</v>
      </c>
      <c r="F24" s="134" t="s">
        <v>881</v>
      </c>
      <c r="G24" s="125">
        <v>1.0</v>
      </c>
      <c r="H24" s="126" t="s">
        <v>858</v>
      </c>
    </row>
    <row r="25">
      <c r="A25" s="119" t="s">
        <v>635</v>
      </c>
      <c r="B25" s="120">
        <v>1.0</v>
      </c>
      <c r="C25" s="121">
        <v>2736888.0</v>
      </c>
      <c r="D25" s="122" t="s">
        <v>856</v>
      </c>
      <c r="F25" s="127" t="s">
        <v>882</v>
      </c>
      <c r="G25" s="128">
        <v>1.0</v>
      </c>
      <c r="H25" s="129" t="s">
        <v>858</v>
      </c>
    </row>
    <row r="26">
      <c r="A26" s="119" t="s">
        <v>466</v>
      </c>
      <c r="B26" s="120">
        <v>1.0</v>
      </c>
      <c r="C26" s="121">
        <v>1133000.0</v>
      </c>
      <c r="D26" s="122" t="s">
        <v>856</v>
      </c>
      <c r="F26" s="134" t="s">
        <v>883</v>
      </c>
      <c r="G26" s="125">
        <v>1.0</v>
      </c>
      <c r="H26" s="126" t="s">
        <v>858</v>
      </c>
    </row>
    <row r="27">
      <c r="A27" s="119" t="s">
        <v>664</v>
      </c>
      <c r="B27" s="120">
        <v>1.0</v>
      </c>
      <c r="C27" s="121">
        <v>1210828.0</v>
      </c>
      <c r="D27" s="122" t="s">
        <v>856</v>
      </c>
      <c r="F27" s="136" t="s">
        <v>884</v>
      </c>
      <c r="G27" s="132">
        <v>1.0</v>
      </c>
      <c r="H27" s="129" t="s">
        <v>858</v>
      </c>
    </row>
    <row r="28">
      <c r="B28" s="137"/>
      <c r="C28" s="138"/>
      <c r="F28" s="134" t="s">
        <v>885</v>
      </c>
      <c r="G28" s="125">
        <v>1.0</v>
      </c>
      <c r="H28" s="126" t="s">
        <v>858</v>
      </c>
    </row>
    <row r="29">
      <c r="B29" s="137"/>
      <c r="C29" s="138"/>
      <c r="F29" s="139" t="s">
        <v>886</v>
      </c>
      <c r="G29" s="128">
        <v>1.0</v>
      </c>
      <c r="H29" s="129" t="s">
        <v>858</v>
      </c>
    </row>
    <row r="30">
      <c r="A30" s="33"/>
      <c r="B30" s="137"/>
      <c r="C30" s="140"/>
      <c r="D30" s="33"/>
      <c r="F30" s="124" t="s">
        <v>887</v>
      </c>
      <c r="G30" s="125">
        <v>1.0</v>
      </c>
      <c r="H30" s="126" t="s">
        <v>858</v>
      </c>
    </row>
    <row r="31">
      <c r="A31" s="141"/>
      <c r="B31" s="142"/>
      <c r="C31" s="143"/>
      <c r="D31" s="144"/>
      <c r="F31" s="127" t="s">
        <v>887</v>
      </c>
      <c r="G31" s="128">
        <v>1.0</v>
      </c>
      <c r="H31" s="129" t="s">
        <v>858</v>
      </c>
    </row>
    <row r="32">
      <c r="A32" s="145"/>
      <c r="B32" s="146"/>
      <c r="C32" s="147"/>
      <c r="D32" s="148"/>
      <c r="F32" s="134" t="s">
        <v>888</v>
      </c>
      <c r="G32" s="125">
        <v>1.0</v>
      </c>
      <c r="H32" s="126" t="s">
        <v>858</v>
      </c>
    </row>
    <row r="33">
      <c r="A33" s="141"/>
      <c r="B33" s="142"/>
      <c r="C33" s="143"/>
      <c r="D33" s="149"/>
      <c r="F33" s="133" t="s">
        <v>889</v>
      </c>
      <c r="G33" s="128">
        <v>1.0</v>
      </c>
      <c r="H33" s="129" t="s">
        <v>858</v>
      </c>
    </row>
    <row r="34">
      <c r="A34" s="145"/>
      <c r="B34" s="146"/>
      <c r="C34" s="147"/>
      <c r="D34" s="148"/>
      <c r="F34" s="124" t="s">
        <v>890</v>
      </c>
      <c r="G34" s="125">
        <v>1.0</v>
      </c>
      <c r="H34" s="126" t="s">
        <v>858</v>
      </c>
    </row>
    <row r="35">
      <c r="A35" s="141"/>
      <c r="B35" s="146"/>
      <c r="C35" s="147"/>
      <c r="D35" s="148"/>
      <c r="F35" s="131" t="s">
        <v>891</v>
      </c>
      <c r="G35" s="128">
        <v>1.0</v>
      </c>
      <c r="H35" s="129" t="s">
        <v>858</v>
      </c>
    </row>
    <row r="36">
      <c r="A36" s="145"/>
      <c r="B36" s="146"/>
      <c r="C36" s="147"/>
      <c r="D36" s="148"/>
      <c r="F36" s="134" t="s">
        <v>892</v>
      </c>
      <c r="G36" s="125">
        <v>1.0</v>
      </c>
      <c r="H36" s="126" t="s">
        <v>858</v>
      </c>
    </row>
    <row r="37">
      <c r="A37" s="141"/>
      <c r="B37" s="142"/>
      <c r="C37" s="143"/>
      <c r="D37" s="149"/>
      <c r="F37" s="127" t="s">
        <v>893</v>
      </c>
      <c r="G37" s="128">
        <v>1.0</v>
      </c>
      <c r="H37" s="129" t="s">
        <v>858</v>
      </c>
    </row>
    <row r="38">
      <c r="A38" s="145"/>
      <c r="B38" s="146"/>
      <c r="C38" s="147"/>
      <c r="D38" s="148"/>
      <c r="F38" s="150"/>
      <c r="G38" s="151"/>
      <c r="H38" s="150"/>
    </row>
    <row r="39">
      <c r="A39" s="141"/>
      <c r="B39" s="146"/>
      <c r="C39" s="147"/>
      <c r="D39" s="148"/>
      <c r="F39" s="150"/>
      <c r="G39" s="151"/>
      <c r="H39" s="150"/>
    </row>
    <row r="40">
      <c r="A40" s="141"/>
      <c r="B40" s="142"/>
      <c r="C40" s="143"/>
      <c r="D40" s="149"/>
      <c r="F40" s="150"/>
      <c r="G40" s="151"/>
      <c r="H40" s="150"/>
    </row>
    <row r="41">
      <c r="A41" s="152"/>
      <c r="B41" s="153"/>
      <c r="C41" s="154"/>
      <c r="D41" s="155"/>
      <c r="F41" s="150"/>
      <c r="G41" s="151"/>
      <c r="H41" s="150"/>
    </row>
    <row r="42">
      <c r="A42" s="145"/>
      <c r="B42" s="146"/>
      <c r="C42" s="147"/>
      <c r="D42" s="148"/>
      <c r="F42" s="150"/>
      <c r="G42" s="151"/>
      <c r="H42" s="150"/>
    </row>
    <row r="43">
      <c r="A43" s="145"/>
      <c r="B43" s="146"/>
      <c r="C43" s="147"/>
      <c r="D43" s="148"/>
      <c r="F43" s="150"/>
      <c r="G43" s="151"/>
      <c r="H43" s="150"/>
    </row>
    <row r="44">
      <c r="A44" s="145"/>
      <c r="B44" s="146"/>
      <c r="C44" s="147"/>
      <c r="D44" s="148"/>
      <c r="F44" s="150"/>
      <c r="G44" s="151"/>
      <c r="H44" s="150"/>
    </row>
    <row r="45">
      <c r="A45" s="156"/>
      <c r="B45" s="142"/>
      <c r="C45" s="143"/>
      <c r="D45" s="149"/>
      <c r="F45" s="150"/>
      <c r="G45" s="151"/>
      <c r="H45" s="150"/>
    </row>
    <row r="46">
      <c r="A46" s="157"/>
      <c r="B46" s="146"/>
      <c r="C46" s="147"/>
      <c r="D46" s="148"/>
      <c r="F46" s="150"/>
      <c r="G46" s="151"/>
      <c r="H46" s="150"/>
    </row>
    <row r="47">
      <c r="A47" s="158"/>
      <c r="B47" s="153"/>
      <c r="C47" s="154"/>
      <c r="D47" s="155"/>
      <c r="F47" s="150"/>
      <c r="G47" s="151"/>
      <c r="H47" s="150"/>
    </row>
    <row r="48">
      <c r="A48" s="141"/>
      <c r="B48" s="146"/>
      <c r="C48" s="147"/>
      <c r="D48" s="148"/>
      <c r="F48" s="150"/>
      <c r="G48" s="151"/>
      <c r="H48" s="150"/>
    </row>
    <row r="49">
      <c r="A49" s="152"/>
      <c r="B49" s="153"/>
      <c r="C49" s="154"/>
      <c r="D49" s="155"/>
      <c r="F49" s="150"/>
      <c r="G49" s="151"/>
      <c r="H49" s="150"/>
    </row>
    <row r="50">
      <c r="A50" s="157"/>
      <c r="B50" s="146"/>
      <c r="C50" s="147"/>
      <c r="D50" s="148"/>
      <c r="F50" s="150"/>
      <c r="G50" s="151"/>
      <c r="H50" s="150"/>
    </row>
    <row r="51">
      <c r="A51" s="145"/>
      <c r="B51" s="146"/>
      <c r="C51" s="147"/>
      <c r="D51" s="148"/>
      <c r="F51" s="150"/>
      <c r="G51" s="151"/>
      <c r="H51" s="150"/>
    </row>
    <row r="52">
      <c r="A52" s="141"/>
      <c r="B52" s="146"/>
      <c r="C52" s="147"/>
      <c r="D52" s="148"/>
      <c r="F52" s="150"/>
      <c r="G52" s="151"/>
      <c r="H52" s="150"/>
    </row>
    <row r="53">
      <c r="A53" s="159"/>
      <c r="B53" s="160"/>
      <c r="C53" s="161"/>
      <c r="D53" s="162"/>
      <c r="F53" s="150"/>
      <c r="G53" s="151"/>
      <c r="H53" s="150"/>
    </row>
    <row r="54">
      <c r="A54" s="163"/>
      <c r="B54" s="160"/>
      <c r="C54" s="161"/>
      <c r="D54" s="162"/>
      <c r="F54" s="150"/>
      <c r="G54" s="151"/>
      <c r="H54" s="150"/>
    </row>
    <row r="55">
      <c r="A55" s="164"/>
      <c r="B55" s="142"/>
      <c r="C55" s="143"/>
      <c r="D55" s="149"/>
      <c r="F55" s="150"/>
      <c r="G55" s="151"/>
      <c r="H55" s="150"/>
    </row>
    <row r="56">
      <c r="A56" s="141"/>
      <c r="B56" s="146"/>
      <c r="C56" s="147"/>
      <c r="D56" s="148"/>
      <c r="F56" s="150"/>
      <c r="G56" s="151"/>
      <c r="H56" s="150"/>
    </row>
    <row r="57">
      <c r="A57" s="165"/>
      <c r="B57" s="166"/>
      <c r="C57" s="167"/>
      <c r="D57" s="168"/>
      <c r="F57" s="150"/>
      <c r="G57" s="151"/>
      <c r="H57" s="150"/>
    </row>
    <row r="58">
      <c r="A58" s="141"/>
      <c r="B58" s="146"/>
      <c r="C58" s="147"/>
      <c r="D58" s="148"/>
      <c r="F58" s="150"/>
      <c r="G58" s="151"/>
      <c r="H58" s="150"/>
    </row>
    <row r="59">
      <c r="A59" s="164"/>
      <c r="B59" s="146"/>
      <c r="C59" s="147"/>
      <c r="D59" s="148"/>
      <c r="F59" s="150"/>
      <c r="G59" s="151"/>
      <c r="H59" s="150"/>
    </row>
    <row r="60">
      <c r="A60" s="145"/>
      <c r="B60" s="146"/>
      <c r="C60" s="147"/>
      <c r="D60" s="148"/>
      <c r="F60" s="150"/>
      <c r="G60" s="151"/>
      <c r="H60" s="150"/>
    </row>
    <row r="61">
      <c r="A61" s="145"/>
      <c r="B61" s="146"/>
      <c r="C61" s="147"/>
      <c r="D61" s="148"/>
      <c r="F61" s="150"/>
      <c r="G61" s="151"/>
      <c r="H61" s="150"/>
    </row>
    <row r="62">
      <c r="A62" s="169"/>
      <c r="B62" s="146"/>
      <c r="C62" s="147"/>
      <c r="D62" s="148"/>
      <c r="F62" s="150"/>
      <c r="G62" s="151"/>
      <c r="H62" s="150"/>
    </row>
    <row r="63">
      <c r="A63" s="170"/>
      <c r="B63" s="171"/>
      <c r="C63" s="172"/>
      <c r="D63" s="173"/>
      <c r="F63" s="150"/>
      <c r="G63" s="151"/>
      <c r="H63" s="150"/>
    </row>
    <row r="64">
      <c r="A64" s="145"/>
      <c r="B64" s="146"/>
      <c r="C64" s="147"/>
      <c r="D64" s="148"/>
      <c r="F64" s="150"/>
      <c r="G64" s="151"/>
      <c r="H64" s="150"/>
    </row>
    <row r="65">
      <c r="A65" s="145"/>
      <c r="B65" s="146"/>
      <c r="C65" s="147"/>
      <c r="D65" s="148"/>
      <c r="F65" s="150"/>
      <c r="G65" s="151"/>
      <c r="H65" s="150"/>
    </row>
    <row r="66">
      <c r="A66" s="145"/>
      <c r="B66" s="146"/>
      <c r="C66" s="147"/>
      <c r="D66" s="148"/>
      <c r="F66" s="150"/>
      <c r="G66" s="151"/>
      <c r="H66" s="150"/>
    </row>
    <row r="67">
      <c r="B67" s="137"/>
      <c r="C67" s="138"/>
      <c r="F67" s="150"/>
      <c r="G67" s="151"/>
      <c r="H67" s="150"/>
    </row>
    <row r="68">
      <c r="B68" s="137"/>
      <c r="C68" s="138"/>
      <c r="F68" s="150"/>
      <c r="G68" s="151"/>
      <c r="H68" s="150"/>
    </row>
    <row r="69">
      <c r="B69" s="137"/>
      <c r="C69" s="138"/>
      <c r="F69" s="150"/>
      <c r="G69" s="151"/>
      <c r="H69" s="150"/>
    </row>
    <row r="70">
      <c r="B70" s="137"/>
      <c r="C70" s="138"/>
      <c r="F70" s="150"/>
      <c r="G70" s="151"/>
      <c r="H70" s="150"/>
    </row>
    <row r="71">
      <c r="B71" s="137"/>
      <c r="C71" s="138"/>
      <c r="F71" s="150"/>
      <c r="G71" s="151"/>
      <c r="H71" s="150"/>
    </row>
    <row r="72">
      <c r="B72" s="137"/>
      <c r="C72" s="138"/>
      <c r="F72" s="150"/>
      <c r="G72" s="151"/>
      <c r="H72" s="150"/>
    </row>
    <row r="73">
      <c r="B73" s="137"/>
      <c r="C73" s="138"/>
      <c r="F73" s="150"/>
      <c r="G73" s="151"/>
      <c r="H73" s="150"/>
    </row>
    <row r="74">
      <c r="B74" s="137"/>
      <c r="C74" s="138"/>
      <c r="F74" s="150"/>
      <c r="G74" s="151"/>
      <c r="H74" s="150"/>
    </row>
    <row r="75">
      <c r="B75" s="137"/>
      <c r="C75" s="138"/>
      <c r="F75" s="150"/>
      <c r="G75" s="151"/>
      <c r="H75" s="150"/>
    </row>
    <row r="76">
      <c r="B76" s="137"/>
      <c r="C76" s="138"/>
      <c r="F76" s="150"/>
      <c r="G76" s="151"/>
      <c r="H76" s="150"/>
    </row>
    <row r="77">
      <c r="B77" s="137"/>
      <c r="C77" s="138"/>
      <c r="F77" s="150"/>
      <c r="G77" s="151"/>
      <c r="H77" s="150"/>
    </row>
    <row r="78">
      <c r="B78" s="137"/>
      <c r="C78" s="138"/>
      <c r="F78" s="150"/>
      <c r="G78" s="151"/>
      <c r="H78" s="150"/>
    </row>
    <row r="79">
      <c r="B79" s="137"/>
      <c r="C79" s="138"/>
      <c r="F79" s="150"/>
      <c r="G79" s="151"/>
      <c r="H79" s="150"/>
    </row>
    <row r="80">
      <c r="B80" s="137"/>
      <c r="C80" s="138"/>
      <c r="F80" s="150"/>
      <c r="G80" s="151"/>
      <c r="H80" s="150"/>
    </row>
    <row r="81">
      <c r="B81" s="137"/>
      <c r="C81" s="138"/>
      <c r="F81" s="150"/>
      <c r="G81" s="151"/>
      <c r="H81" s="150"/>
    </row>
    <row r="82">
      <c r="B82" s="137"/>
      <c r="C82" s="138"/>
      <c r="F82" s="150"/>
      <c r="G82" s="151"/>
      <c r="H82" s="150"/>
    </row>
    <row r="83">
      <c r="B83" s="137"/>
      <c r="C83" s="138"/>
      <c r="F83" s="150"/>
      <c r="G83" s="151"/>
      <c r="H83" s="150"/>
    </row>
    <row r="84">
      <c r="B84" s="137"/>
      <c r="C84" s="138"/>
      <c r="F84" s="150"/>
      <c r="G84" s="151"/>
      <c r="H84" s="150"/>
    </row>
    <row r="85">
      <c r="B85" s="137"/>
      <c r="C85" s="138"/>
      <c r="F85" s="150"/>
      <c r="G85" s="151"/>
      <c r="H85" s="150"/>
    </row>
    <row r="86">
      <c r="B86" s="137"/>
      <c r="C86" s="138"/>
      <c r="F86" s="150"/>
      <c r="G86" s="151"/>
      <c r="H86" s="150"/>
    </row>
    <row r="87">
      <c r="B87" s="137"/>
      <c r="C87" s="138"/>
      <c r="F87" s="150"/>
      <c r="G87" s="151"/>
      <c r="H87" s="150"/>
    </row>
    <row r="88">
      <c r="B88" s="137"/>
      <c r="C88" s="138"/>
      <c r="F88" s="150"/>
      <c r="G88" s="151"/>
      <c r="H88" s="150"/>
    </row>
    <row r="89">
      <c r="B89" s="137"/>
      <c r="C89" s="138"/>
      <c r="F89" s="150"/>
      <c r="G89" s="151"/>
      <c r="H89" s="150"/>
    </row>
    <row r="90">
      <c r="B90" s="137"/>
      <c r="C90" s="138"/>
      <c r="F90" s="150"/>
      <c r="G90" s="151"/>
      <c r="H90" s="150"/>
    </row>
    <row r="91">
      <c r="B91" s="137"/>
      <c r="C91" s="138"/>
      <c r="F91" s="150"/>
      <c r="G91" s="151"/>
      <c r="H91" s="150"/>
    </row>
    <row r="92">
      <c r="B92" s="137"/>
      <c r="C92" s="138"/>
      <c r="F92" s="150"/>
      <c r="G92" s="151"/>
      <c r="H92" s="150"/>
    </row>
    <row r="93">
      <c r="B93" s="137"/>
      <c r="C93" s="138"/>
      <c r="F93" s="150"/>
      <c r="G93" s="151"/>
      <c r="H93" s="150"/>
    </row>
    <row r="94">
      <c r="B94" s="137"/>
      <c r="C94" s="138"/>
      <c r="F94" s="150"/>
      <c r="G94" s="151"/>
      <c r="H94" s="150"/>
    </row>
    <row r="95">
      <c r="B95" s="137"/>
      <c r="C95" s="138"/>
      <c r="F95" s="150"/>
      <c r="G95" s="151"/>
      <c r="H95" s="150"/>
    </row>
    <row r="96">
      <c r="B96" s="137"/>
      <c r="C96" s="138"/>
      <c r="F96" s="150"/>
      <c r="G96" s="151"/>
      <c r="H96" s="150"/>
    </row>
    <row r="97">
      <c r="B97" s="137"/>
      <c r="C97" s="138"/>
      <c r="F97" s="150"/>
      <c r="G97" s="151"/>
      <c r="H97" s="150"/>
    </row>
    <row r="98">
      <c r="B98" s="137"/>
      <c r="C98" s="138"/>
      <c r="F98" s="150"/>
      <c r="G98" s="151"/>
      <c r="H98" s="150"/>
    </row>
    <row r="99">
      <c r="B99" s="137"/>
      <c r="C99" s="138"/>
      <c r="F99" s="150"/>
      <c r="G99" s="151"/>
      <c r="H99" s="150"/>
    </row>
    <row r="100">
      <c r="B100" s="137"/>
      <c r="C100" s="138"/>
      <c r="F100" s="150"/>
      <c r="G100" s="151"/>
      <c r="H100" s="150"/>
    </row>
    <row r="101">
      <c r="B101" s="137"/>
      <c r="C101" s="138"/>
      <c r="F101" s="150"/>
      <c r="G101" s="151"/>
      <c r="H101" s="150"/>
    </row>
    <row r="102">
      <c r="B102" s="137"/>
      <c r="C102" s="138"/>
      <c r="F102" s="150"/>
      <c r="G102" s="151"/>
      <c r="H102" s="150"/>
    </row>
    <row r="103">
      <c r="B103" s="137"/>
      <c r="C103" s="138"/>
      <c r="F103" s="150"/>
      <c r="G103" s="151"/>
      <c r="H103" s="150"/>
    </row>
    <row r="104">
      <c r="B104" s="137"/>
      <c r="C104" s="138"/>
      <c r="F104" s="150"/>
      <c r="G104" s="151"/>
      <c r="H104" s="150"/>
    </row>
    <row r="105">
      <c r="B105" s="137"/>
      <c r="C105" s="138"/>
      <c r="F105" s="150"/>
      <c r="G105" s="151"/>
      <c r="H105" s="150"/>
    </row>
    <row r="106">
      <c r="B106" s="137"/>
      <c r="C106" s="138"/>
      <c r="F106" s="150"/>
      <c r="G106" s="151"/>
      <c r="H106" s="150"/>
    </row>
    <row r="107">
      <c r="B107" s="137"/>
      <c r="C107" s="138"/>
      <c r="F107" s="150"/>
      <c r="G107" s="151"/>
      <c r="H107" s="150"/>
    </row>
    <row r="108">
      <c r="B108" s="137"/>
      <c r="C108" s="138"/>
      <c r="F108" s="150"/>
      <c r="G108" s="151"/>
      <c r="H108" s="150"/>
    </row>
    <row r="109">
      <c r="B109" s="137"/>
      <c r="C109" s="138"/>
      <c r="F109" s="150"/>
      <c r="G109" s="151"/>
      <c r="H109" s="150"/>
    </row>
    <row r="110">
      <c r="B110" s="137"/>
      <c r="C110" s="138"/>
      <c r="F110" s="150"/>
      <c r="G110" s="151"/>
      <c r="H110" s="150"/>
    </row>
    <row r="111">
      <c r="B111" s="137"/>
      <c r="C111" s="138"/>
      <c r="F111" s="150"/>
      <c r="G111" s="151"/>
      <c r="H111" s="150"/>
    </row>
    <row r="112">
      <c r="B112" s="137"/>
      <c r="C112" s="138"/>
      <c r="F112" s="150"/>
      <c r="G112" s="151"/>
      <c r="H112" s="150"/>
    </row>
    <row r="113">
      <c r="B113" s="137"/>
      <c r="C113" s="138"/>
      <c r="F113" s="150"/>
      <c r="G113" s="151"/>
      <c r="H113" s="150"/>
    </row>
    <row r="114">
      <c r="B114" s="137"/>
      <c r="C114" s="138"/>
      <c r="F114" s="150"/>
      <c r="G114" s="151"/>
      <c r="H114" s="150"/>
    </row>
    <row r="115">
      <c r="B115" s="137"/>
      <c r="C115" s="138"/>
      <c r="F115" s="150"/>
      <c r="G115" s="151"/>
      <c r="H115" s="150"/>
    </row>
    <row r="116">
      <c r="B116" s="137"/>
      <c r="C116" s="138"/>
      <c r="F116" s="150"/>
      <c r="G116" s="151"/>
      <c r="H116" s="150"/>
    </row>
    <row r="117">
      <c r="B117" s="137"/>
      <c r="C117" s="138"/>
      <c r="F117" s="150"/>
      <c r="G117" s="151"/>
      <c r="H117" s="150"/>
    </row>
    <row r="118">
      <c r="B118" s="137"/>
      <c r="C118" s="138"/>
      <c r="F118" s="150"/>
      <c r="G118" s="151"/>
      <c r="H118" s="150"/>
    </row>
    <row r="119">
      <c r="B119" s="137"/>
      <c r="C119" s="138"/>
      <c r="F119" s="150"/>
      <c r="G119" s="151"/>
      <c r="H119" s="150"/>
    </row>
    <row r="120">
      <c r="B120" s="137"/>
      <c r="C120" s="138"/>
      <c r="F120" s="150"/>
      <c r="G120" s="151"/>
      <c r="H120" s="150"/>
    </row>
    <row r="121">
      <c r="B121" s="137"/>
      <c r="C121" s="138"/>
      <c r="F121" s="150"/>
      <c r="G121" s="151"/>
      <c r="H121" s="150"/>
    </row>
    <row r="122">
      <c r="B122" s="137"/>
      <c r="C122" s="138"/>
      <c r="F122" s="150"/>
      <c r="G122" s="151"/>
      <c r="H122" s="150"/>
    </row>
    <row r="123">
      <c r="B123" s="137"/>
      <c r="C123" s="138"/>
      <c r="F123" s="150"/>
      <c r="G123" s="151"/>
      <c r="H123" s="150"/>
    </row>
    <row r="124">
      <c r="B124" s="137"/>
      <c r="C124" s="138"/>
      <c r="F124" s="150"/>
      <c r="G124" s="151"/>
      <c r="H124" s="150"/>
    </row>
    <row r="125">
      <c r="B125" s="137"/>
      <c r="C125" s="138"/>
      <c r="F125" s="150"/>
      <c r="G125" s="151"/>
      <c r="H125" s="150"/>
    </row>
    <row r="126">
      <c r="B126" s="137"/>
      <c r="C126" s="138"/>
      <c r="F126" s="150"/>
      <c r="G126" s="151"/>
      <c r="H126" s="150"/>
    </row>
    <row r="127">
      <c r="B127" s="137"/>
      <c r="C127" s="138"/>
      <c r="F127" s="150"/>
      <c r="G127" s="151"/>
      <c r="H127" s="150"/>
    </row>
    <row r="128">
      <c r="B128" s="137"/>
      <c r="C128" s="138"/>
      <c r="F128" s="150"/>
      <c r="G128" s="151"/>
      <c r="H128" s="150"/>
    </row>
    <row r="129">
      <c r="B129" s="137"/>
      <c r="C129" s="138"/>
      <c r="F129" s="150"/>
      <c r="G129" s="151"/>
      <c r="H129" s="150"/>
    </row>
    <row r="130">
      <c r="B130" s="137"/>
      <c r="C130" s="138"/>
      <c r="F130" s="150"/>
      <c r="G130" s="151"/>
      <c r="H130" s="150"/>
    </row>
    <row r="131">
      <c r="B131" s="137"/>
      <c r="C131" s="138"/>
      <c r="F131" s="150"/>
      <c r="G131" s="151"/>
      <c r="H131" s="150"/>
    </row>
    <row r="132">
      <c r="B132" s="137"/>
      <c r="C132" s="138"/>
      <c r="F132" s="150"/>
      <c r="G132" s="151"/>
      <c r="H132" s="150"/>
    </row>
    <row r="133">
      <c r="B133" s="137"/>
      <c r="C133" s="138"/>
      <c r="F133" s="150"/>
      <c r="G133" s="151"/>
      <c r="H133" s="150"/>
    </row>
    <row r="134">
      <c r="B134" s="137"/>
      <c r="C134" s="138"/>
      <c r="F134" s="150"/>
      <c r="G134" s="151"/>
      <c r="H134" s="150"/>
    </row>
    <row r="135">
      <c r="B135" s="137"/>
      <c r="C135" s="138"/>
      <c r="F135" s="150"/>
      <c r="G135" s="151"/>
      <c r="H135" s="150"/>
    </row>
    <row r="136">
      <c r="B136" s="137"/>
      <c r="C136" s="138"/>
      <c r="F136" s="150"/>
      <c r="G136" s="151"/>
      <c r="H136" s="150"/>
    </row>
    <row r="137">
      <c r="B137" s="137"/>
      <c r="C137" s="138"/>
      <c r="F137" s="150"/>
      <c r="G137" s="151"/>
      <c r="H137" s="150"/>
    </row>
    <row r="138">
      <c r="B138" s="137"/>
      <c r="C138" s="138"/>
      <c r="F138" s="150"/>
      <c r="G138" s="151"/>
      <c r="H138" s="150"/>
    </row>
    <row r="139">
      <c r="B139" s="137"/>
      <c r="C139" s="138"/>
      <c r="F139" s="150"/>
      <c r="G139" s="151"/>
      <c r="H139" s="150"/>
    </row>
    <row r="140">
      <c r="B140" s="137"/>
      <c r="C140" s="138"/>
      <c r="F140" s="150"/>
      <c r="G140" s="151"/>
      <c r="H140" s="150"/>
    </row>
    <row r="141">
      <c r="B141" s="137"/>
      <c r="C141" s="138"/>
      <c r="F141" s="150"/>
      <c r="G141" s="151"/>
      <c r="H141" s="150"/>
    </row>
    <row r="142">
      <c r="B142" s="137"/>
      <c r="C142" s="138"/>
      <c r="F142" s="150"/>
      <c r="G142" s="151"/>
      <c r="H142" s="150"/>
    </row>
    <row r="143">
      <c r="B143" s="137"/>
      <c r="C143" s="138"/>
      <c r="F143" s="150"/>
      <c r="G143" s="151"/>
      <c r="H143" s="150"/>
    </row>
    <row r="144">
      <c r="B144" s="137"/>
      <c r="C144" s="138"/>
      <c r="F144" s="150"/>
      <c r="G144" s="151"/>
      <c r="H144" s="150"/>
    </row>
    <row r="145">
      <c r="B145" s="137"/>
      <c r="C145" s="138"/>
      <c r="F145" s="150"/>
      <c r="G145" s="151"/>
      <c r="H145" s="150"/>
    </row>
    <row r="146">
      <c r="B146" s="137"/>
      <c r="C146" s="138"/>
      <c r="F146" s="150"/>
      <c r="G146" s="151"/>
      <c r="H146" s="150"/>
    </row>
    <row r="147">
      <c r="B147" s="137"/>
      <c r="C147" s="138"/>
      <c r="F147" s="150"/>
      <c r="G147" s="151"/>
      <c r="H147" s="150"/>
    </row>
    <row r="148">
      <c r="B148" s="137"/>
      <c r="C148" s="138"/>
      <c r="F148" s="150"/>
      <c r="G148" s="151"/>
      <c r="H148" s="150"/>
    </row>
    <row r="149">
      <c r="B149" s="137"/>
      <c r="C149" s="138"/>
      <c r="F149" s="150"/>
      <c r="G149" s="151"/>
      <c r="H149" s="150"/>
    </row>
    <row r="150">
      <c r="B150" s="137"/>
      <c r="C150" s="138"/>
      <c r="F150" s="150"/>
      <c r="G150" s="151"/>
      <c r="H150" s="150"/>
    </row>
    <row r="151">
      <c r="B151" s="137"/>
      <c r="C151" s="138"/>
      <c r="F151" s="150"/>
      <c r="G151" s="151"/>
      <c r="H151" s="150"/>
    </row>
    <row r="152">
      <c r="B152" s="137"/>
      <c r="C152" s="138"/>
      <c r="F152" s="150"/>
      <c r="G152" s="151"/>
      <c r="H152" s="150"/>
    </row>
    <row r="153">
      <c r="B153" s="137"/>
      <c r="C153" s="138"/>
      <c r="F153" s="150"/>
      <c r="G153" s="151"/>
      <c r="H153" s="150"/>
    </row>
    <row r="154">
      <c r="B154" s="137"/>
      <c r="C154" s="138"/>
      <c r="F154" s="150"/>
      <c r="G154" s="151"/>
      <c r="H154" s="150"/>
    </row>
    <row r="155">
      <c r="B155" s="137"/>
      <c r="C155" s="138"/>
      <c r="F155" s="150"/>
      <c r="G155" s="151"/>
      <c r="H155" s="150"/>
    </row>
    <row r="156">
      <c r="B156" s="137"/>
      <c r="C156" s="138"/>
      <c r="F156" s="150"/>
      <c r="G156" s="151"/>
      <c r="H156" s="150"/>
    </row>
    <row r="157">
      <c r="B157" s="137"/>
      <c r="C157" s="138"/>
      <c r="F157" s="150"/>
      <c r="G157" s="151"/>
      <c r="H157" s="150"/>
    </row>
    <row r="158">
      <c r="B158" s="137"/>
      <c r="C158" s="138"/>
      <c r="F158" s="150"/>
      <c r="G158" s="151"/>
      <c r="H158" s="150"/>
    </row>
    <row r="159">
      <c r="B159" s="137"/>
      <c r="C159" s="138"/>
      <c r="F159" s="150"/>
      <c r="G159" s="151"/>
      <c r="H159" s="150"/>
    </row>
    <row r="160">
      <c r="B160" s="137"/>
      <c r="C160" s="138"/>
      <c r="F160" s="150"/>
      <c r="G160" s="151"/>
      <c r="H160" s="150"/>
    </row>
    <row r="161">
      <c r="B161" s="137"/>
      <c r="C161" s="138"/>
      <c r="F161" s="150"/>
      <c r="G161" s="151"/>
      <c r="H161" s="150"/>
    </row>
    <row r="162">
      <c r="B162" s="137"/>
      <c r="C162" s="138"/>
      <c r="F162" s="150"/>
      <c r="G162" s="151"/>
      <c r="H162" s="150"/>
    </row>
    <row r="163">
      <c r="B163" s="137"/>
      <c r="C163" s="138"/>
      <c r="F163" s="150"/>
      <c r="G163" s="151"/>
      <c r="H163" s="150"/>
    </row>
    <row r="164">
      <c r="B164" s="137"/>
      <c r="C164" s="138"/>
      <c r="F164" s="150"/>
      <c r="G164" s="151"/>
      <c r="H164" s="150"/>
    </row>
    <row r="165">
      <c r="B165" s="137"/>
      <c r="C165" s="138"/>
      <c r="F165" s="150"/>
      <c r="G165" s="151"/>
      <c r="H165" s="150"/>
    </row>
    <row r="166">
      <c r="B166" s="137"/>
      <c r="C166" s="138"/>
      <c r="F166" s="150"/>
      <c r="G166" s="151"/>
      <c r="H166" s="150"/>
    </row>
    <row r="167">
      <c r="B167" s="137"/>
      <c r="C167" s="138"/>
      <c r="F167" s="150"/>
      <c r="G167" s="151"/>
      <c r="H167" s="150"/>
    </row>
    <row r="168">
      <c r="B168" s="137"/>
      <c r="C168" s="138"/>
      <c r="F168" s="150"/>
      <c r="G168" s="151"/>
      <c r="H168" s="150"/>
    </row>
    <row r="169">
      <c r="B169" s="137"/>
      <c r="C169" s="138"/>
      <c r="F169" s="150"/>
      <c r="G169" s="151"/>
      <c r="H169" s="150"/>
    </row>
    <row r="170">
      <c r="B170" s="137"/>
      <c r="C170" s="138"/>
      <c r="F170" s="150"/>
      <c r="G170" s="151"/>
      <c r="H170" s="150"/>
    </row>
    <row r="171">
      <c r="B171" s="137"/>
      <c r="C171" s="138"/>
      <c r="F171" s="150"/>
      <c r="G171" s="151"/>
      <c r="H171" s="150"/>
    </row>
    <row r="172">
      <c r="B172" s="137"/>
      <c r="C172" s="138"/>
      <c r="F172" s="150"/>
      <c r="G172" s="151"/>
      <c r="H172" s="150"/>
    </row>
    <row r="173">
      <c r="B173" s="137"/>
      <c r="C173" s="138"/>
      <c r="F173" s="150"/>
      <c r="G173" s="151"/>
      <c r="H173" s="150"/>
    </row>
    <row r="174">
      <c r="B174" s="137"/>
      <c r="C174" s="138"/>
      <c r="F174" s="150"/>
      <c r="G174" s="151"/>
      <c r="H174" s="150"/>
    </row>
    <row r="175">
      <c r="B175" s="137"/>
      <c r="C175" s="138"/>
      <c r="F175" s="150"/>
      <c r="G175" s="151"/>
      <c r="H175" s="150"/>
    </row>
    <row r="176">
      <c r="B176" s="137"/>
      <c r="C176" s="138"/>
      <c r="F176" s="150"/>
      <c r="G176" s="151"/>
      <c r="H176" s="150"/>
    </row>
    <row r="177">
      <c r="B177" s="137"/>
      <c r="C177" s="138"/>
      <c r="F177" s="150"/>
      <c r="G177" s="151"/>
      <c r="H177" s="150"/>
    </row>
    <row r="178">
      <c r="B178" s="137"/>
      <c r="C178" s="138"/>
      <c r="F178" s="150"/>
      <c r="G178" s="151"/>
      <c r="H178" s="150"/>
    </row>
    <row r="179">
      <c r="B179" s="137"/>
      <c r="C179" s="138"/>
      <c r="F179" s="150"/>
      <c r="G179" s="151"/>
      <c r="H179" s="150"/>
    </row>
    <row r="180">
      <c r="B180" s="137"/>
      <c r="C180" s="138"/>
      <c r="F180" s="150"/>
      <c r="G180" s="151"/>
      <c r="H180" s="150"/>
    </row>
    <row r="181">
      <c r="B181" s="137"/>
      <c r="C181" s="138"/>
      <c r="F181" s="150"/>
      <c r="G181" s="151"/>
      <c r="H181" s="150"/>
    </row>
    <row r="182">
      <c r="B182" s="137"/>
      <c r="C182" s="138"/>
      <c r="F182" s="150"/>
      <c r="G182" s="151"/>
      <c r="H182" s="150"/>
    </row>
    <row r="183">
      <c r="B183" s="137"/>
      <c r="C183" s="138"/>
      <c r="F183" s="150"/>
      <c r="G183" s="151"/>
      <c r="H183" s="150"/>
    </row>
    <row r="184">
      <c r="B184" s="137"/>
      <c r="C184" s="138"/>
      <c r="F184" s="150"/>
      <c r="G184" s="151"/>
      <c r="H184" s="150"/>
    </row>
    <row r="185">
      <c r="B185" s="137"/>
      <c r="C185" s="138"/>
      <c r="F185" s="150"/>
      <c r="G185" s="151"/>
      <c r="H185" s="150"/>
    </row>
    <row r="186">
      <c r="B186" s="137"/>
      <c r="C186" s="138"/>
      <c r="F186" s="150"/>
      <c r="G186" s="151"/>
      <c r="H186" s="150"/>
    </row>
    <row r="187">
      <c r="B187" s="137"/>
      <c r="C187" s="138"/>
      <c r="F187" s="150"/>
      <c r="G187" s="151"/>
      <c r="H187" s="150"/>
    </row>
    <row r="188">
      <c r="B188" s="137"/>
      <c r="C188" s="138"/>
      <c r="F188" s="150"/>
      <c r="G188" s="151"/>
      <c r="H188" s="150"/>
    </row>
    <row r="189">
      <c r="B189" s="137"/>
      <c r="C189" s="138"/>
      <c r="F189" s="150"/>
      <c r="G189" s="151"/>
      <c r="H189" s="150"/>
    </row>
    <row r="190">
      <c r="B190" s="137"/>
      <c r="C190" s="138"/>
      <c r="F190" s="150"/>
      <c r="G190" s="151"/>
      <c r="H190" s="150"/>
    </row>
    <row r="191">
      <c r="B191" s="137"/>
      <c r="C191" s="138"/>
      <c r="F191" s="150"/>
      <c r="G191" s="151"/>
      <c r="H191" s="150"/>
    </row>
    <row r="192">
      <c r="B192" s="137"/>
      <c r="C192" s="138"/>
      <c r="F192" s="150"/>
      <c r="G192" s="151"/>
      <c r="H192" s="150"/>
    </row>
    <row r="193">
      <c r="B193" s="137"/>
      <c r="C193" s="138"/>
      <c r="F193" s="150"/>
      <c r="G193" s="151"/>
      <c r="H193" s="150"/>
    </row>
    <row r="194">
      <c r="B194" s="137"/>
      <c r="C194" s="138"/>
      <c r="F194" s="150"/>
      <c r="G194" s="151"/>
      <c r="H194" s="150"/>
    </row>
    <row r="195">
      <c r="B195" s="137"/>
      <c r="C195" s="138"/>
      <c r="F195" s="150"/>
      <c r="G195" s="151"/>
      <c r="H195" s="150"/>
    </row>
    <row r="196">
      <c r="B196" s="137"/>
      <c r="C196" s="138"/>
      <c r="F196" s="150"/>
      <c r="G196" s="151"/>
      <c r="H196" s="150"/>
    </row>
    <row r="197">
      <c r="B197" s="137"/>
      <c r="C197" s="138"/>
      <c r="F197" s="150"/>
      <c r="G197" s="151"/>
      <c r="H197" s="150"/>
    </row>
    <row r="198">
      <c r="B198" s="137"/>
      <c r="C198" s="138"/>
      <c r="F198" s="150"/>
      <c r="G198" s="151"/>
      <c r="H198" s="150"/>
    </row>
    <row r="199">
      <c r="B199" s="137"/>
      <c r="C199" s="138"/>
      <c r="F199" s="150"/>
      <c r="G199" s="151"/>
      <c r="H199" s="150"/>
    </row>
    <row r="200">
      <c r="B200" s="137"/>
      <c r="C200" s="138"/>
      <c r="F200" s="150"/>
      <c r="G200" s="151"/>
      <c r="H200" s="150"/>
    </row>
    <row r="201">
      <c r="B201" s="137"/>
      <c r="C201" s="138"/>
      <c r="F201" s="150"/>
      <c r="G201" s="151"/>
      <c r="H201" s="150"/>
    </row>
    <row r="202">
      <c r="B202" s="137"/>
      <c r="C202" s="138"/>
      <c r="F202" s="150"/>
      <c r="G202" s="151"/>
      <c r="H202" s="150"/>
    </row>
    <row r="203">
      <c r="B203" s="137"/>
      <c r="C203" s="138"/>
      <c r="F203" s="150"/>
      <c r="G203" s="151"/>
      <c r="H203" s="150"/>
    </row>
    <row r="204">
      <c r="B204" s="137"/>
      <c r="C204" s="138"/>
      <c r="F204" s="150"/>
      <c r="G204" s="151"/>
      <c r="H204" s="150"/>
    </row>
    <row r="205">
      <c r="B205" s="137"/>
      <c r="C205" s="138"/>
      <c r="F205" s="150"/>
      <c r="G205" s="151"/>
      <c r="H205" s="150"/>
    </row>
    <row r="206">
      <c r="B206" s="137"/>
      <c r="C206" s="138"/>
      <c r="F206" s="150"/>
      <c r="G206" s="151"/>
      <c r="H206" s="150"/>
    </row>
    <row r="207">
      <c r="B207" s="137"/>
      <c r="C207" s="138"/>
      <c r="F207" s="150"/>
      <c r="G207" s="151"/>
      <c r="H207" s="150"/>
    </row>
    <row r="208">
      <c r="B208" s="137"/>
      <c r="C208" s="138"/>
      <c r="F208" s="150"/>
      <c r="G208" s="151"/>
      <c r="H208" s="150"/>
    </row>
    <row r="209">
      <c r="B209" s="137"/>
      <c r="C209" s="138"/>
      <c r="F209" s="150"/>
      <c r="G209" s="151"/>
      <c r="H209" s="150"/>
    </row>
    <row r="210">
      <c r="B210" s="137"/>
      <c r="C210" s="138"/>
      <c r="F210" s="150"/>
      <c r="G210" s="151"/>
      <c r="H210" s="150"/>
    </row>
    <row r="211">
      <c r="B211" s="137"/>
      <c r="C211" s="138"/>
      <c r="F211" s="150"/>
      <c r="G211" s="151"/>
      <c r="H211" s="150"/>
    </row>
    <row r="212">
      <c r="B212" s="137"/>
      <c r="C212" s="138"/>
      <c r="F212" s="150"/>
      <c r="G212" s="151"/>
      <c r="H212" s="150"/>
    </row>
    <row r="213">
      <c r="B213" s="137"/>
      <c r="C213" s="138"/>
      <c r="F213" s="150"/>
      <c r="G213" s="151"/>
      <c r="H213" s="150"/>
    </row>
    <row r="214">
      <c r="B214" s="137"/>
      <c r="C214" s="138"/>
      <c r="F214" s="150"/>
      <c r="G214" s="151"/>
      <c r="H214" s="150"/>
    </row>
    <row r="215">
      <c r="B215" s="137"/>
      <c r="C215" s="138"/>
      <c r="F215" s="150"/>
      <c r="G215" s="151"/>
      <c r="H215" s="150"/>
    </row>
    <row r="216">
      <c r="B216" s="137"/>
      <c r="C216" s="138"/>
      <c r="F216" s="150"/>
      <c r="G216" s="151"/>
      <c r="H216" s="150"/>
    </row>
    <row r="217">
      <c r="B217" s="137"/>
      <c r="C217" s="138"/>
      <c r="F217" s="150"/>
      <c r="G217" s="151"/>
      <c r="H217" s="150"/>
    </row>
    <row r="218">
      <c r="B218" s="137"/>
      <c r="C218" s="138"/>
      <c r="F218" s="150"/>
      <c r="G218" s="151"/>
      <c r="H218" s="150"/>
    </row>
    <row r="219">
      <c r="B219" s="137"/>
      <c r="C219" s="138"/>
      <c r="F219" s="150"/>
      <c r="G219" s="151"/>
      <c r="H219" s="150"/>
    </row>
    <row r="220">
      <c r="B220" s="137"/>
      <c r="C220" s="138"/>
      <c r="F220" s="150"/>
      <c r="G220" s="151"/>
      <c r="H220" s="150"/>
    </row>
    <row r="221">
      <c r="B221" s="137"/>
      <c r="C221" s="138"/>
      <c r="F221" s="150"/>
      <c r="G221" s="151"/>
      <c r="H221" s="150"/>
    </row>
    <row r="222">
      <c r="B222" s="137"/>
      <c r="C222" s="138"/>
      <c r="F222" s="150"/>
      <c r="G222" s="151"/>
      <c r="H222" s="150"/>
    </row>
    <row r="223">
      <c r="B223" s="137"/>
      <c r="C223" s="138"/>
      <c r="F223" s="150"/>
      <c r="G223" s="151"/>
      <c r="H223" s="150"/>
    </row>
    <row r="224">
      <c r="B224" s="137"/>
      <c r="C224" s="138"/>
      <c r="F224" s="150"/>
      <c r="G224" s="151"/>
      <c r="H224" s="150"/>
    </row>
    <row r="225">
      <c r="B225" s="137"/>
      <c r="C225" s="138"/>
      <c r="F225" s="150"/>
      <c r="G225" s="151"/>
      <c r="H225" s="150"/>
    </row>
    <row r="226">
      <c r="B226" s="137"/>
      <c r="C226" s="138"/>
      <c r="F226" s="150"/>
      <c r="G226" s="151"/>
      <c r="H226" s="150"/>
    </row>
    <row r="227">
      <c r="B227" s="137"/>
      <c r="C227" s="138"/>
      <c r="F227" s="150"/>
      <c r="G227" s="151"/>
      <c r="H227" s="150"/>
    </row>
    <row r="228">
      <c r="B228" s="137"/>
      <c r="C228" s="138"/>
      <c r="F228" s="150"/>
      <c r="G228" s="151"/>
      <c r="H228" s="150"/>
    </row>
    <row r="229">
      <c r="B229" s="137"/>
      <c r="C229" s="138"/>
      <c r="F229" s="150"/>
      <c r="G229" s="151"/>
      <c r="H229" s="150"/>
    </row>
    <row r="230">
      <c r="B230" s="137"/>
      <c r="C230" s="138"/>
      <c r="F230" s="150"/>
      <c r="G230" s="151"/>
      <c r="H230" s="150"/>
    </row>
    <row r="231">
      <c r="B231" s="137"/>
      <c r="C231" s="138"/>
      <c r="F231" s="150"/>
      <c r="G231" s="151"/>
      <c r="H231" s="150"/>
    </row>
    <row r="232">
      <c r="B232" s="137"/>
      <c r="C232" s="138"/>
      <c r="F232" s="150"/>
      <c r="G232" s="151"/>
      <c r="H232" s="150"/>
    </row>
    <row r="233">
      <c r="B233" s="137"/>
      <c r="C233" s="138"/>
      <c r="F233" s="150"/>
      <c r="G233" s="151"/>
      <c r="H233" s="150"/>
    </row>
    <row r="234">
      <c r="B234" s="137"/>
      <c r="C234" s="138"/>
      <c r="F234" s="150"/>
      <c r="G234" s="151"/>
      <c r="H234" s="150"/>
    </row>
    <row r="235">
      <c r="B235" s="137"/>
      <c r="C235" s="138"/>
      <c r="F235" s="150"/>
      <c r="G235" s="151"/>
      <c r="H235" s="150"/>
    </row>
    <row r="236">
      <c r="B236" s="137"/>
      <c r="C236" s="138"/>
      <c r="F236" s="150"/>
      <c r="G236" s="151"/>
      <c r="H236" s="150"/>
    </row>
    <row r="237">
      <c r="B237" s="137"/>
      <c r="C237" s="138"/>
      <c r="F237" s="150"/>
      <c r="G237" s="151"/>
      <c r="H237" s="150"/>
    </row>
    <row r="238">
      <c r="B238" s="137"/>
      <c r="C238" s="138"/>
      <c r="F238" s="150"/>
      <c r="G238" s="151"/>
      <c r="H238" s="150"/>
    </row>
    <row r="239">
      <c r="B239" s="137"/>
      <c r="C239" s="138"/>
      <c r="F239" s="150"/>
      <c r="G239" s="151"/>
      <c r="H239" s="150"/>
    </row>
    <row r="240">
      <c r="B240" s="137"/>
      <c r="C240" s="138"/>
      <c r="F240" s="150"/>
      <c r="G240" s="151"/>
      <c r="H240" s="150"/>
    </row>
    <row r="241">
      <c r="B241" s="137"/>
      <c r="C241" s="138"/>
      <c r="F241" s="150"/>
      <c r="G241" s="151"/>
      <c r="H241" s="150"/>
    </row>
    <row r="242">
      <c r="B242" s="137"/>
      <c r="C242" s="138"/>
      <c r="F242" s="150"/>
      <c r="G242" s="151"/>
      <c r="H242" s="150"/>
    </row>
    <row r="243">
      <c r="B243" s="137"/>
      <c r="C243" s="138"/>
      <c r="F243" s="150"/>
      <c r="G243" s="151"/>
      <c r="H243" s="150"/>
    </row>
    <row r="244">
      <c r="B244" s="137"/>
      <c r="C244" s="138"/>
      <c r="F244" s="150"/>
      <c r="G244" s="151"/>
      <c r="H244" s="150"/>
    </row>
    <row r="245">
      <c r="B245" s="137"/>
      <c r="C245" s="138"/>
      <c r="F245" s="150"/>
      <c r="G245" s="151"/>
      <c r="H245" s="150"/>
    </row>
    <row r="246">
      <c r="B246" s="137"/>
      <c r="C246" s="138"/>
      <c r="F246" s="150"/>
      <c r="G246" s="151"/>
      <c r="H246" s="150"/>
    </row>
    <row r="247">
      <c r="B247" s="137"/>
      <c r="C247" s="138"/>
      <c r="F247" s="150"/>
      <c r="G247" s="151"/>
      <c r="H247" s="150"/>
    </row>
    <row r="248">
      <c r="B248" s="137"/>
      <c r="C248" s="138"/>
      <c r="F248" s="150"/>
      <c r="G248" s="151"/>
      <c r="H248" s="150"/>
    </row>
    <row r="249">
      <c r="B249" s="137"/>
      <c r="C249" s="138"/>
      <c r="F249" s="150"/>
      <c r="G249" s="151"/>
      <c r="H249" s="150"/>
    </row>
    <row r="250">
      <c r="B250" s="137"/>
      <c r="C250" s="138"/>
      <c r="F250" s="150"/>
      <c r="G250" s="151"/>
      <c r="H250" s="150"/>
    </row>
    <row r="251">
      <c r="B251" s="137"/>
      <c r="C251" s="138"/>
      <c r="F251" s="150"/>
      <c r="G251" s="151"/>
      <c r="H251" s="150"/>
    </row>
    <row r="252">
      <c r="B252" s="137"/>
      <c r="C252" s="138"/>
      <c r="F252" s="150"/>
      <c r="G252" s="151"/>
      <c r="H252" s="150"/>
    </row>
    <row r="253">
      <c r="B253" s="137"/>
      <c r="C253" s="138"/>
      <c r="F253" s="150"/>
      <c r="G253" s="151"/>
      <c r="H253" s="150"/>
    </row>
    <row r="254">
      <c r="B254" s="137"/>
      <c r="C254" s="138"/>
      <c r="F254" s="150"/>
      <c r="G254" s="151"/>
      <c r="H254" s="150"/>
    </row>
    <row r="255">
      <c r="B255" s="137"/>
      <c r="C255" s="138"/>
      <c r="F255" s="150"/>
      <c r="G255" s="151"/>
      <c r="H255" s="150"/>
    </row>
    <row r="256">
      <c r="B256" s="137"/>
      <c r="C256" s="138"/>
      <c r="F256" s="150"/>
      <c r="G256" s="151"/>
      <c r="H256" s="150"/>
    </row>
    <row r="257">
      <c r="B257" s="137"/>
      <c r="C257" s="138"/>
      <c r="F257" s="150"/>
      <c r="G257" s="151"/>
      <c r="H257" s="150"/>
    </row>
    <row r="258">
      <c r="B258" s="137"/>
      <c r="C258" s="138"/>
      <c r="F258" s="150"/>
      <c r="G258" s="151"/>
      <c r="H258" s="150"/>
    </row>
    <row r="259">
      <c r="B259" s="137"/>
      <c r="C259" s="138"/>
      <c r="F259" s="150"/>
      <c r="G259" s="151"/>
      <c r="H259" s="150"/>
    </row>
    <row r="260">
      <c r="B260" s="137"/>
      <c r="C260" s="138"/>
      <c r="F260" s="150"/>
      <c r="G260" s="151"/>
      <c r="H260" s="150"/>
    </row>
    <row r="261">
      <c r="B261" s="137"/>
      <c r="C261" s="138"/>
      <c r="F261" s="150"/>
      <c r="G261" s="151"/>
      <c r="H261" s="150"/>
    </row>
    <row r="262">
      <c r="B262" s="137"/>
      <c r="C262" s="138"/>
      <c r="F262" s="150"/>
      <c r="G262" s="151"/>
      <c r="H262" s="150"/>
    </row>
    <row r="263">
      <c r="B263" s="137"/>
      <c r="C263" s="138"/>
      <c r="F263" s="150"/>
      <c r="G263" s="151"/>
      <c r="H263" s="150"/>
    </row>
    <row r="264">
      <c r="B264" s="137"/>
      <c r="C264" s="138"/>
      <c r="F264" s="150"/>
      <c r="G264" s="151"/>
      <c r="H264" s="150"/>
    </row>
    <row r="265">
      <c r="B265" s="137"/>
      <c r="C265" s="138"/>
      <c r="F265" s="150"/>
      <c r="G265" s="151"/>
      <c r="H265" s="150"/>
    </row>
    <row r="266">
      <c r="B266" s="137"/>
      <c r="C266" s="138"/>
      <c r="F266" s="150"/>
      <c r="G266" s="151"/>
      <c r="H266" s="150"/>
    </row>
    <row r="267">
      <c r="B267" s="137"/>
      <c r="C267" s="138"/>
      <c r="F267" s="150"/>
      <c r="G267" s="151"/>
      <c r="H267" s="150"/>
    </row>
    <row r="268">
      <c r="B268" s="137"/>
      <c r="C268" s="138"/>
      <c r="F268" s="150"/>
      <c r="G268" s="151"/>
      <c r="H268" s="150"/>
    </row>
    <row r="269">
      <c r="B269" s="137"/>
      <c r="C269" s="138"/>
      <c r="F269" s="150"/>
      <c r="G269" s="151"/>
      <c r="H269" s="150"/>
    </row>
    <row r="270">
      <c r="B270" s="137"/>
      <c r="C270" s="138"/>
      <c r="F270" s="150"/>
      <c r="G270" s="151"/>
      <c r="H270" s="150"/>
    </row>
    <row r="271">
      <c r="B271" s="137"/>
      <c r="C271" s="138"/>
      <c r="F271" s="150"/>
      <c r="G271" s="151"/>
      <c r="H271" s="150"/>
    </row>
    <row r="272">
      <c r="B272" s="137"/>
      <c r="C272" s="138"/>
      <c r="F272" s="150"/>
      <c r="G272" s="151"/>
      <c r="H272" s="150"/>
    </row>
    <row r="273">
      <c r="B273" s="137"/>
      <c r="C273" s="138"/>
      <c r="F273" s="150"/>
      <c r="G273" s="151"/>
      <c r="H273" s="150"/>
    </row>
    <row r="274">
      <c r="B274" s="137"/>
      <c r="C274" s="138"/>
      <c r="F274" s="150"/>
      <c r="G274" s="151"/>
      <c r="H274" s="150"/>
    </row>
    <row r="275">
      <c r="B275" s="137"/>
      <c r="C275" s="138"/>
      <c r="F275" s="150"/>
      <c r="G275" s="151"/>
      <c r="H275" s="150"/>
    </row>
    <row r="276">
      <c r="B276" s="137"/>
      <c r="C276" s="138"/>
      <c r="F276" s="150"/>
      <c r="G276" s="151"/>
      <c r="H276" s="150"/>
    </row>
    <row r="277">
      <c r="B277" s="137"/>
      <c r="C277" s="138"/>
      <c r="F277" s="150"/>
      <c r="G277" s="151"/>
      <c r="H277" s="150"/>
    </row>
    <row r="278">
      <c r="B278" s="137"/>
      <c r="C278" s="138"/>
      <c r="F278" s="150"/>
      <c r="G278" s="151"/>
      <c r="H278" s="150"/>
    </row>
    <row r="279">
      <c r="B279" s="137"/>
      <c r="C279" s="138"/>
      <c r="F279" s="150"/>
      <c r="G279" s="151"/>
      <c r="H279" s="150"/>
    </row>
    <row r="280">
      <c r="B280" s="137"/>
      <c r="C280" s="138"/>
      <c r="F280" s="150"/>
      <c r="G280" s="151"/>
      <c r="H280" s="150"/>
    </row>
    <row r="281">
      <c r="B281" s="137"/>
      <c r="C281" s="138"/>
      <c r="F281" s="150"/>
      <c r="G281" s="151"/>
      <c r="H281" s="150"/>
    </row>
    <row r="282">
      <c r="B282" s="137"/>
      <c r="C282" s="138"/>
      <c r="F282" s="150"/>
      <c r="G282" s="151"/>
      <c r="H282" s="150"/>
    </row>
    <row r="283">
      <c r="B283" s="137"/>
      <c r="C283" s="138"/>
      <c r="F283" s="150"/>
      <c r="G283" s="151"/>
      <c r="H283" s="150"/>
    </row>
    <row r="284">
      <c r="B284" s="137"/>
      <c r="C284" s="138"/>
      <c r="F284" s="150"/>
      <c r="G284" s="151"/>
      <c r="H284" s="150"/>
    </row>
    <row r="285">
      <c r="B285" s="137"/>
      <c r="C285" s="138"/>
      <c r="F285" s="150"/>
      <c r="G285" s="151"/>
      <c r="H285" s="150"/>
    </row>
    <row r="286">
      <c r="B286" s="137"/>
      <c r="C286" s="138"/>
      <c r="F286" s="150"/>
      <c r="G286" s="151"/>
      <c r="H286" s="150"/>
    </row>
    <row r="287">
      <c r="B287" s="137"/>
      <c r="C287" s="138"/>
      <c r="F287" s="150"/>
      <c r="G287" s="151"/>
      <c r="H287" s="150"/>
    </row>
    <row r="288">
      <c r="B288" s="137"/>
      <c r="C288" s="138"/>
      <c r="F288" s="150"/>
      <c r="G288" s="151"/>
      <c r="H288" s="150"/>
    </row>
    <row r="289">
      <c r="B289" s="137"/>
      <c r="C289" s="138"/>
      <c r="F289" s="150"/>
      <c r="G289" s="151"/>
      <c r="H289" s="150"/>
    </row>
    <row r="290">
      <c r="B290" s="137"/>
      <c r="C290" s="138"/>
      <c r="F290" s="150"/>
      <c r="G290" s="151"/>
      <c r="H290" s="150"/>
    </row>
    <row r="291">
      <c r="B291" s="137"/>
      <c r="C291" s="138"/>
      <c r="F291" s="150"/>
      <c r="G291" s="151"/>
      <c r="H291" s="150"/>
    </row>
    <row r="292">
      <c r="B292" s="137"/>
      <c r="C292" s="138"/>
      <c r="F292" s="150"/>
      <c r="G292" s="151"/>
      <c r="H292" s="150"/>
    </row>
    <row r="293">
      <c r="B293" s="137"/>
      <c r="C293" s="138"/>
      <c r="F293" s="150"/>
      <c r="G293" s="151"/>
      <c r="H293" s="150"/>
    </row>
    <row r="294">
      <c r="B294" s="137"/>
      <c r="C294" s="138"/>
      <c r="F294" s="150"/>
      <c r="G294" s="151"/>
      <c r="H294" s="150"/>
    </row>
    <row r="295">
      <c r="B295" s="137"/>
      <c r="C295" s="138"/>
      <c r="F295" s="150"/>
      <c r="G295" s="151"/>
      <c r="H295" s="150"/>
    </row>
    <row r="296">
      <c r="B296" s="137"/>
      <c r="C296" s="138"/>
      <c r="F296" s="150"/>
      <c r="G296" s="151"/>
      <c r="H296" s="150"/>
    </row>
    <row r="297">
      <c r="B297" s="137"/>
      <c r="C297" s="138"/>
      <c r="F297" s="150"/>
      <c r="G297" s="151"/>
      <c r="H297" s="150"/>
    </row>
    <row r="298">
      <c r="B298" s="137"/>
      <c r="C298" s="138"/>
      <c r="F298" s="150"/>
      <c r="G298" s="151"/>
      <c r="H298" s="150"/>
    </row>
    <row r="299">
      <c r="B299" s="137"/>
      <c r="C299" s="138"/>
      <c r="F299" s="150"/>
      <c r="G299" s="151"/>
      <c r="H299" s="150"/>
    </row>
    <row r="300">
      <c r="B300" s="137"/>
      <c r="C300" s="138"/>
      <c r="F300" s="150"/>
      <c r="G300" s="151"/>
      <c r="H300" s="150"/>
    </row>
    <row r="301">
      <c r="B301" s="137"/>
      <c r="C301" s="138"/>
      <c r="F301" s="150"/>
      <c r="G301" s="151"/>
      <c r="H301" s="150"/>
    </row>
    <row r="302">
      <c r="B302" s="137"/>
      <c r="C302" s="138"/>
      <c r="F302" s="150"/>
      <c r="G302" s="151"/>
      <c r="H302" s="150"/>
    </row>
    <row r="303">
      <c r="B303" s="137"/>
      <c r="C303" s="138"/>
      <c r="F303" s="150"/>
      <c r="G303" s="151"/>
      <c r="H303" s="150"/>
    </row>
    <row r="304">
      <c r="B304" s="137"/>
      <c r="C304" s="138"/>
      <c r="F304" s="150"/>
      <c r="G304" s="151"/>
      <c r="H304" s="150"/>
    </row>
    <row r="305">
      <c r="B305" s="137"/>
      <c r="C305" s="138"/>
      <c r="F305" s="150"/>
      <c r="G305" s="151"/>
      <c r="H305" s="150"/>
    </row>
    <row r="306">
      <c r="B306" s="137"/>
      <c r="C306" s="138"/>
      <c r="F306" s="150"/>
      <c r="G306" s="151"/>
      <c r="H306" s="150"/>
    </row>
    <row r="307">
      <c r="B307" s="137"/>
      <c r="C307" s="138"/>
      <c r="F307" s="150"/>
      <c r="G307" s="151"/>
      <c r="H307" s="150"/>
    </row>
    <row r="308">
      <c r="B308" s="137"/>
      <c r="C308" s="138"/>
      <c r="F308" s="150"/>
      <c r="G308" s="151"/>
      <c r="H308" s="150"/>
    </row>
    <row r="309">
      <c r="B309" s="137"/>
      <c r="C309" s="138"/>
      <c r="F309" s="150"/>
      <c r="G309" s="151"/>
      <c r="H309" s="150"/>
    </row>
    <row r="310">
      <c r="B310" s="137"/>
      <c r="C310" s="138"/>
      <c r="F310" s="150"/>
      <c r="G310" s="151"/>
      <c r="H310" s="150"/>
    </row>
    <row r="311">
      <c r="B311" s="137"/>
      <c r="C311" s="138"/>
      <c r="F311" s="150"/>
      <c r="G311" s="151"/>
      <c r="H311" s="150"/>
    </row>
    <row r="312">
      <c r="B312" s="137"/>
      <c r="C312" s="138"/>
      <c r="F312" s="150"/>
      <c r="G312" s="151"/>
      <c r="H312" s="150"/>
    </row>
    <row r="313">
      <c r="B313" s="137"/>
      <c r="C313" s="138"/>
      <c r="F313" s="150"/>
      <c r="G313" s="151"/>
      <c r="H313" s="150"/>
    </row>
    <row r="314">
      <c r="B314" s="137"/>
      <c r="C314" s="138"/>
      <c r="F314" s="150"/>
      <c r="G314" s="151"/>
      <c r="H314" s="150"/>
    </row>
    <row r="315">
      <c r="B315" s="137"/>
      <c r="C315" s="138"/>
      <c r="F315" s="150"/>
      <c r="G315" s="151"/>
      <c r="H315" s="150"/>
    </row>
    <row r="316">
      <c r="B316" s="137"/>
      <c r="C316" s="138"/>
      <c r="F316" s="150"/>
      <c r="G316" s="151"/>
      <c r="H316" s="150"/>
    </row>
    <row r="317">
      <c r="B317" s="137"/>
      <c r="C317" s="138"/>
      <c r="F317" s="150"/>
      <c r="G317" s="151"/>
      <c r="H317" s="150"/>
    </row>
    <row r="318">
      <c r="B318" s="137"/>
      <c r="C318" s="138"/>
      <c r="F318" s="150"/>
      <c r="G318" s="151"/>
      <c r="H318" s="150"/>
    </row>
    <row r="319">
      <c r="B319" s="137"/>
      <c r="C319" s="138"/>
      <c r="F319" s="150"/>
      <c r="G319" s="151"/>
      <c r="H319" s="150"/>
    </row>
    <row r="320">
      <c r="B320" s="137"/>
      <c r="C320" s="138"/>
      <c r="F320" s="150"/>
      <c r="G320" s="151"/>
      <c r="H320" s="150"/>
    </row>
    <row r="321">
      <c r="B321" s="137"/>
      <c r="C321" s="138"/>
      <c r="F321" s="150"/>
      <c r="G321" s="151"/>
      <c r="H321" s="150"/>
    </row>
    <row r="322">
      <c r="B322" s="137"/>
      <c r="C322" s="138"/>
      <c r="F322" s="150"/>
      <c r="G322" s="151"/>
      <c r="H322" s="150"/>
    </row>
    <row r="323">
      <c r="B323" s="137"/>
      <c r="C323" s="138"/>
      <c r="F323" s="150"/>
      <c r="G323" s="151"/>
      <c r="H323" s="150"/>
    </row>
    <row r="324">
      <c r="B324" s="137"/>
      <c r="C324" s="138"/>
      <c r="F324" s="150"/>
      <c r="G324" s="151"/>
      <c r="H324" s="150"/>
    </row>
    <row r="325">
      <c r="B325" s="137"/>
      <c r="C325" s="138"/>
      <c r="F325" s="150"/>
      <c r="G325" s="151"/>
      <c r="H325" s="150"/>
    </row>
    <row r="326">
      <c r="B326" s="137"/>
      <c r="C326" s="138"/>
      <c r="F326" s="150"/>
      <c r="G326" s="151"/>
      <c r="H326" s="150"/>
    </row>
    <row r="327">
      <c r="B327" s="137"/>
      <c r="C327" s="138"/>
      <c r="F327" s="150"/>
      <c r="G327" s="151"/>
      <c r="H327" s="150"/>
    </row>
    <row r="328">
      <c r="B328" s="137"/>
      <c r="C328" s="138"/>
      <c r="F328" s="150"/>
      <c r="G328" s="151"/>
      <c r="H328" s="150"/>
    </row>
    <row r="329">
      <c r="B329" s="137"/>
      <c r="C329" s="138"/>
      <c r="F329" s="150"/>
      <c r="G329" s="151"/>
      <c r="H329" s="150"/>
    </row>
    <row r="330">
      <c r="B330" s="137"/>
      <c r="C330" s="138"/>
      <c r="F330" s="150"/>
      <c r="G330" s="151"/>
      <c r="H330" s="150"/>
    </row>
    <row r="331">
      <c r="B331" s="137"/>
      <c r="C331" s="138"/>
      <c r="F331" s="150"/>
      <c r="G331" s="151"/>
      <c r="H331" s="150"/>
    </row>
    <row r="332">
      <c r="B332" s="137"/>
      <c r="C332" s="138"/>
      <c r="F332" s="150"/>
      <c r="G332" s="151"/>
      <c r="H332" s="150"/>
    </row>
    <row r="333">
      <c r="B333" s="137"/>
      <c r="C333" s="138"/>
      <c r="F333" s="150"/>
      <c r="G333" s="151"/>
      <c r="H333" s="150"/>
    </row>
    <row r="334">
      <c r="B334" s="137"/>
      <c r="C334" s="138"/>
      <c r="F334" s="150"/>
      <c r="G334" s="151"/>
      <c r="H334" s="150"/>
    </row>
    <row r="335">
      <c r="B335" s="137"/>
      <c r="C335" s="138"/>
      <c r="F335" s="150"/>
      <c r="G335" s="151"/>
      <c r="H335" s="150"/>
    </row>
    <row r="336">
      <c r="B336" s="137"/>
      <c r="C336" s="138"/>
      <c r="F336" s="150"/>
      <c r="G336" s="151"/>
      <c r="H336" s="150"/>
    </row>
    <row r="337">
      <c r="B337" s="137"/>
      <c r="C337" s="138"/>
      <c r="F337" s="150"/>
      <c r="G337" s="151"/>
      <c r="H337" s="150"/>
    </row>
    <row r="338">
      <c r="B338" s="137"/>
      <c r="C338" s="138"/>
      <c r="F338" s="150"/>
      <c r="G338" s="151"/>
      <c r="H338" s="150"/>
    </row>
    <row r="339">
      <c r="B339" s="137"/>
      <c r="C339" s="138"/>
      <c r="F339" s="150"/>
      <c r="G339" s="151"/>
      <c r="H339" s="150"/>
    </row>
    <row r="340">
      <c r="B340" s="137"/>
      <c r="C340" s="138"/>
      <c r="F340" s="150"/>
      <c r="G340" s="151"/>
      <c r="H340" s="150"/>
    </row>
    <row r="341">
      <c r="B341" s="137"/>
      <c r="C341" s="138"/>
      <c r="F341" s="150"/>
      <c r="G341" s="151"/>
      <c r="H341" s="150"/>
    </row>
    <row r="342">
      <c r="B342" s="137"/>
      <c r="C342" s="138"/>
      <c r="F342" s="150"/>
      <c r="G342" s="151"/>
      <c r="H342" s="150"/>
    </row>
    <row r="343">
      <c r="B343" s="137"/>
      <c r="C343" s="138"/>
      <c r="F343" s="150"/>
      <c r="G343" s="151"/>
      <c r="H343" s="150"/>
    </row>
    <row r="344">
      <c r="B344" s="137"/>
      <c r="C344" s="138"/>
      <c r="F344" s="150"/>
      <c r="G344" s="151"/>
      <c r="H344" s="150"/>
    </row>
    <row r="345">
      <c r="B345" s="137"/>
      <c r="C345" s="138"/>
      <c r="F345" s="150"/>
      <c r="G345" s="151"/>
      <c r="H345" s="150"/>
    </row>
    <row r="346">
      <c r="B346" s="137"/>
      <c r="C346" s="138"/>
      <c r="F346" s="150"/>
      <c r="G346" s="151"/>
      <c r="H346" s="150"/>
    </row>
    <row r="347">
      <c r="B347" s="137"/>
      <c r="C347" s="138"/>
      <c r="F347" s="150"/>
      <c r="G347" s="151"/>
      <c r="H347" s="150"/>
    </row>
    <row r="348">
      <c r="B348" s="137"/>
      <c r="C348" s="138"/>
      <c r="F348" s="150"/>
      <c r="G348" s="151"/>
      <c r="H348" s="150"/>
    </row>
    <row r="349">
      <c r="B349" s="137"/>
      <c r="C349" s="138"/>
      <c r="F349" s="150"/>
      <c r="G349" s="151"/>
      <c r="H349" s="150"/>
    </row>
    <row r="350">
      <c r="B350" s="137"/>
      <c r="C350" s="138"/>
      <c r="F350" s="150"/>
      <c r="G350" s="151"/>
      <c r="H350" s="150"/>
    </row>
    <row r="351">
      <c r="B351" s="137"/>
      <c r="C351" s="138"/>
      <c r="F351" s="150"/>
      <c r="G351" s="151"/>
      <c r="H351" s="150"/>
    </row>
    <row r="352">
      <c r="B352" s="137"/>
      <c r="C352" s="138"/>
      <c r="F352" s="150"/>
      <c r="G352" s="151"/>
      <c r="H352" s="150"/>
    </row>
    <row r="353">
      <c r="B353" s="137"/>
      <c r="C353" s="138"/>
      <c r="F353" s="150"/>
      <c r="G353" s="151"/>
      <c r="H353" s="150"/>
    </row>
    <row r="354">
      <c r="B354" s="137"/>
      <c r="C354" s="138"/>
      <c r="F354" s="150"/>
      <c r="G354" s="151"/>
      <c r="H354" s="150"/>
    </row>
    <row r="355">
      <c r="B355" s="137"/>
      <c r="C355" s="138"/>
      <c r="F355" s="150"/>
      <c r="G355" s="151"/>
      <c r="H355" s="150"/>
    </row>
    <row r="356">
      <c r="B356" s="137"/>
      <c r="C356" s="138"/>
      <c r="F356" s="150"/>
      <c r="G356" s="151"/>
      <c r="H356" s="150"/>
    </row>
    <row r="357">
      <c r="B357" s="137"/>
      <c r="C357" s="138"/>
      <c r="F357" s="150"/>
      <c r="G357" s="151"/>
      <c r="H357" s="150"/>
    </row>
    <row r="358">
      <c r="B358" s="137"/>
      <c r="C358" s="138"/>
      <c r="F358" s="150"/>
      <c r="G358" s="151"/>
      <c r="H358" s="150"/>
    </row>
    <row r="359">
      <c r="B359" s="137"/>
      <c r="C359" s="138"/>
      <c r="F359" s="150"/>
      <c r="G359" s="151"/>
      <c r="H359" s="150"/>
    </row>
    <row r="360">
      <c r="B360" s="137"/>
      <c r="C360" s="138"/>
      <c r="F360" s="150"/>
      <c r="G360" s="151"/>
      <c r="H360" s="150"/>
    </row>
    <row r="361">
      <c r="B361" s="137"/>
      <c r="C361" s="138"/>
      <c r="F361" s="150"/>
      <c r="G361" s="151"/>
      <c r="H361" s="150"/>
    </row>
    <row r="362">
      <c r="B362" s="137"/>
      <c r="C362" s="138"/>
      <c r="F362" s="150"/>
      <c r="G362" s="151"/>
      <c r="H362" s="150"/>
    </row>
    <row r="363">
      <c r="B363" s="137"/>
      <c r="C363" s="138"/>
      <c r="F363" s="150"/>
      <c r="G363" s="151"/>
      <c r="H363" s="150"/>
    </row>
    <row r="364">
      <c r="B364" s="137"/>
      <c r="C364" s="138"/>
      <c r="F364" s="150"/>
      <c r="G364" s="151"/>
      <c r="H364" s="150"/>
    </row>
    <row r="365">
      <c r="B365" s="137"/>
      <c r="C365" s="138"/>
      <c r="F365" s="150"/>
      <c r="G365" s="151"/>
      <c r="H365" s="150"/>
    </row>
    <row r="366">
      <c r="B366" s="137"/>
      <c r="C366" s="138"/>
      <c r="F366" s="150"/>
      <c r="G366" s="151"/>
      <c r="H366" s="150"/>
    </row>
    <row r="367">
      <c r="B367" s="137"/>
      <c r="C367" s="138"/>
      <c r="F367" s="150"/>
      <c r="G367" s="151"/>
      <c r="H367" s="150"/>
    </row>
    <row r="368">
      <c r="B368" s="137"/>
      <c r="C368" s="138"/>
      <c r="F368" s="150"/>
      <c r="G368" s="151"/>
      <c r="H368" s="150"/>
    </row>
    <row r="369">
      <c r="B369" s="137"/>
      <c r="C369" s="138"/>
      <c r="F369" s="150"/>
      <c r="G369" s="151"/>
      <c r="H369" s="150"/>
    </row>
    <row r="370">
      <c r="B370" s="137"/>
      <c r="C370" s="138"/>
      <c r="F370" s="150"/>
      <c r="G370" s="151"/>
      <c r="H370" s="150"/>
    </row>
    <row r="371">
      <c r="B371" s="137"/>
      <c r="C371" s="138"/>
      <c r="F371" s="150"/>
      <c r="G371" s="151"/>
      <c r="H371" s="150"/>
    </row>
    <row r="372">
      <c r="B372" s="137"/>
      <c r="C372" s="138"/>
      <c r="F372" s="150"/>
      <c r="G372" s="151"/>
      <c r="H372" s="150"/>
    </row>
    <row r="373">
      <c r="B373" s="137"/>
      <c r="C373" s="138"/>
      <c r="F373" s="150"/>
      <c r="G373" s="151"/>
      <c r="H373" s="150"/>
    </row>
    <row r="374">
      <c r="B374" s="137"/>
      <c r="C374" s="138"/>
      <c r="F374" s="150"/>
      <c r="G374" s="151"/>
      <c r="H374" s="150"/>
    </row>
    <row r="375">
      <c r="B375" s="137"/>
      <c r="C375" s="138"/>
      <c r="F375" s="150"/>
      <c r="G375" s="151"/>
      <c r="H375" s="150"/>
    </row>
    <row r="376">
      <c r="B376" s="137"/>
      <c r="C376" s="138"/>
      <c r="F376" s="150"/>
      <c r="G376" s="151"/>
      <c r="H376" s="150"/>
    </row>
    <row r="377">
      <c r="B377" s="137"/>
      <c r="C377" s="138"/>
      <c r="F377" s="150"/>
      <c r="G377" s="151"/>
      <c r="H377" s="150"/>
    </row>
    <row r="378">
      <c r="B378" s="137"/>
      <c r="C378" s="138"/>
      <c r="F378" s="150"/>
      <c r="G378" s="151"/>
      <c r="H378" s="150"/>
    </row>
    <row r="379">
      <c r="B379" s="137"/>
      <c r="C379" s="138"/>
      <c r="F379" s="150"/>
      <c r="G379" s="151"/>
      <c r="H379" s="150"/>
    </row>
    <row r="380">
      <c r="B380" s="137"/>
      <c r="C380" s="138"/>
      <c r="F380" s="150"/>
      <c r="G380" s="151"/>
      <c r="H380" s="150"/>
    </row>
    <row r="381">
      <c r="B381" s="137"/>
      <c r="C381" s="138"/>
      <c r="F381" s="150"/>
      <c r="G381" s="151"/>
      <c r="H381" s="150"/>
    </row>
    <row r="382">
      <c r="B382" s="137"/>
      <c r="C382" s="138"/>
      <c r="F382" s="150"/>
      <c r="G382" s="151"/>
      <c r="H382" s="150"/>
    </row>
    <row r="383">
      <c r="B383" s="137"/>
      <c r="C383" s="138"/>
      <c r="F383" s="150"/>
      <c r="G383" s="151"/>
      <c r="H383" s="150"/>
    </row>
    <row r="384">
      <c r="B384" s="137"/>
      <c r="C384" s="138"/>
      <c r="F384" s="150"/>
      <c r="G384" s="151"/>
      <c r="H384" s="150"/>
    </row>
    <row r="385">
      <c r="B385" s="137"/>
      <c r="C385" s="138"/>
      <c r="F385" s="150"/>
      <c r="G385" s="151"/>
      <c r="H385" s="150"/>
    </row>
    <row r="386">
      <c r="B386" s="137"/>
      <c r="C386" s="138"/>
      <c r="F386" s="150"/>
      <c r="G386" s="151"/>
      <c r="H386" s="150"/>
    </row>
    <row r="387">
      <c r="B387" s="137"/>
      <c r="C387" s="138"/>
      <c r="F387" s="150"/>
      <c r="G387" s="151"/>
      <c r="H387" s="150"/>
    </row>
    <row r="388">
      <c r="B388" s="137"/>
      <c r="C388" s="138"/>
      <c r="F388" s="150"/>
      <c r="G388" s="151"/>
      <c r="H388" s="150"/>
    </row>
    <row r="389">
      <c r="B389" s="137"/>
      <c r="C389" s="138"/>
      <c r="F389" s="150"/>
      <c r="G389" s="151"/>
      <c r="H389" s="150"/>
    </row>
    <row r="390">
      <c r="B390" s="137"/>
      <c r="C390" s="138"/>
      <c r="F390" s="150"/>
      <c r="G390" s="151"/>
      <c r="H390" s="150"/>
    </row>
    <row r="391">
      <c r="B391" s="137"/>
      <c r="C391" s="138"/>
      <c r="F391" s="150"/>
      <c r="G391" s="151"/>
      <c r="H391" s="150"/>
    </row>
    <row r="392">
      <c r="B392" s="137"/>
      <c r="C392" s="138"/>
      <c r="F392" s="150"/>
      <c r="G392" s="151"/>
      <c r="H392" s="150"/>
    </row>
    <row r="393">
      <c r="B393" s="137"/>
      <c r="C393" s="138"/>
      <c r="F393" s="150"/>
      <c r="G393" s="151"/>
      <c r="H393" s="150"/>
    </row>
    <row r="394">
      <c r="B394" s="137"/>
      <c r="C394" s="138"/>
      <c r="F394" s="150"/>
      <c r="G394" s="151"/>
      <c r="H394" s="150"/>
    </row>
    <row r="395">
      <c r="B395" s="137"/>
      <c r="C395" s="138"/>
      <c r="F395" s="150"/>
      <c r="G395" s="151"/>
      <c r="H395" s="150"/>
    </row>
    <row r="396">
      <c r="B396" s="137"/>
      <c r="C396" s="138"/>
      <c r="F396" s="150"/>
      <c r="G396" s="151"/>
      <c r="H396" s="150"/>
    </row>
    <row r="397">
      <c r="B397" s="137"/>
      <c r="C397" s="138"/>
      <c r="F397" s="150"/>
      <c r="G397" s="151"/>
      <c r="H397" s="150"/>
    </row>
    <row r="398">
      <c r="B398" s="137"/>
      <c r="C398" s="138"/>
      <c r="F398" s="150"/>
      <c r="G398" s="151"/>
      <c r="H398" s="150"/>
    </row>
    <row r="399">
      <c r="B399" s="137"/>
      <c r="C399" s="138"/>
      <c r="F399" s="150"/>
      <c r="G399" s="151"/>
      <c r="H399" s="150"/>
    </row>
    <row r="400">
      <c r="B400" s="137"/>
      <c r="C400" s="138"/>
      <c r="F400" s="150"/>
      <c r="G400" s="151"/>
      <c r="H400" s="150"/>
    </row>
    <row r="401">
      <c r="B401" s="137"/>
      <c r="C401" s="138"/>
      <c r="F401" s="150"/>
      <c r="G401" s="151"/>
      <c r="H401" s="150"/>
    </row>
    <row r="402">
      <c r="B402" s="137"/>
      <c r="C402" s="138"/>
      <c r="F402" s="150"/>
      <c r="G402" s="151"/>
      <c r="H402" s="150"/>
    </row>
    <row r="403">
      <c r="B403" s="137"/>
      <c r="C403" s="138"/>
      <c r="F403" s="150"/>
      <c r="G403" s="151"/>
      <c r="H403" s="150"/>
    </row>
    <row r="404">
      <c r="B404" s="137"/>
      <c r="C404" s="138"/>
      <c r="F404" s="150"/>
      <c r="G404" s="151"/>
      <c r="H404" s="150"/>
    </row>
    <row r="405">
      <c r="B405" s="137"/>
      <c r="C405" s="138"/>
      <c r="F405" s="150"/>
      <c r="G405" s="151"/>
      <c r="H405" s="150"/>
    </row>
    <row r="406">
      <c r="B406" s="137"/>
      <c r="C406" s="138"/>
      <c r="F406" s="150"/>
      <c r="G406" s="151"/>
      <c r="H406" s="150"/>
    </row>
    <row r="407">
      <c r="B407" s="137"/>
      <c r="C407" s="138"/>
      <c r="F407" s="150"/>
      <c r="G407" s="151"/>
      <c r="H407" s="150"/>
    </row>
    <row r="408">
      <c r="B408" s="137"/>
      <c r="C408" s="138"/>
      <c r="F408" s="150"/>
      <c r="G408" s="151"/>
      <c r="H408" s="150"/>
    </row>
    <row r="409">
      <c r="B409" s="137"/>
      <c r="C409" s="138"/>
      <c r="F409" s="150"/>
      <c r="G409" s="151"/>
      <c r="H409" s="150"/>
    </row>
    <row r="410">
      <c r="B410" s="137"/>
      <c r="C410" s="138"/>
      <c r="F410" s="150"/>
      <c r="G410" s="151"/>
      <c r="H410" s="150"/>
    </row>
    <row r="411">
      <c r="B411" s="137"/>
      <c r="C411" s="138"/>
      <c r="F411" s="150"/>
      <c r="G411" s="151"/>
      <c r="H411" s="150"/>
    </row>
    <row r="412">
      <c r="B412" s="137"/>
      <c r="C412" s="138"/>
      <c r="F412" s="150"/>
      <c r="G412" s="151"/>
      <c r="H412" s="150"/>
    </row>
    <row r="413">
      <c r="B413" s="137"/>
      <c r="C413" s="138"/>
      <c r="F413" s="150"/>
      <c r="G413" s="151"/>
      <c r="H413" s="150"/>
    </row>
    <row r="414">
      <c r="B414" s="137"/>
      <c r="C414" s="138"/>
      <c r="F414" s="150"/>
      <c r="G414" s="151"/>
      <c r="H414" s="150"/>
    </row>
    <row r="415">
      <c r="B415" s="137"/>
      <c r="C415" s="138"/>
      <c r="F415" s="150"/>
      <c r="G415" s="151"/>
      <c r="H415" s="150"/>
    </row>
    <row r="416">
      <c r="B416" s="137"/>
      <c r="C416" s="138"/>
      <c r="F416" s="150"/>
      <c r="G416" s="151"/>
      <c r="H416" s="150"/>
    </row>
    <row r="417">
      <c r="B417" s="137"/>
      <c r="C417" s="138"/>
      <c r="F417" s="150"/>
      <c r="G417" s="151"/>
      <c r="H417" s="150"/>
    </row>
    <row r="418">
      <c r="B418" s="137"/>
      <c r="C418" s="138"/>
      <c r="F418" s="150"/>
      <c r="G418" s="151"/>
      <c r="H418" s="150"/>
    </row>
    <row r="419">
      <c r="B419" s="137"/>
      <c r="C419" s="138"/>
      <c r="F419" s="150"/>
      <c r="G419" s="151"/>
      <c r="H419" s="150"/>
    </row>
    <row r="420">
      <c r="B420" s="137"/>
      <c r="C420" s="138"/>
      <c r="F420" s="150"/>
      <c r="G420" s="151"/>
      <c r="H420" s="150"/>
    </row>
    <row r="421">
      <c r="B421" s="137"/>
      <c r="C421" s="138"/>
      <c r="F421" s="150"/>
      <c r="G421" s="151"/>
      <c r="H421" s="150"/>
    </row>
    <row r="422">
      <c r="B422" s="137"/>
      <c r="C422" s="138"/>
      <c r="F422" s="150"/>
      <c r="G422" s="151"/>
      <c r="H422" s="150"/>
    </row>
    <row r="423">
      <c r="B423" s="137"/>
      <c r="C423" s="138"/>
      <c r="F423" s="150"/>
      <c r="G423" s="151"/>
      <c r="H423" s="150"/>
    </row>
    <row r="424">
      <c r="B424" s="137"/>
      <c r="C424" s="138"/>
      <c r="F424" s="150"/>
      <c r="G424" s="151"/>
      <c r="H424" s="150"/>
    </row>
    <row r="425">
      <c r="B425" s="137"/>
      <c r="C425" s="138"/>
      <c r="F425" s="150"/>
      <c r="G425" s="151"/>
      <c r="H425" s="150"/>
    </row>
    <row r="426">
      <c r="B426" s="137"/>
      <c r="C426" s="138"/>
      <c r="F426" s="150"/>
      <c r="G426" s="151"/>
      <c r="H426" s="150"/>
    </row>
    <row r="427">
      <c r="B427" s="137"/>
      <c r="C427" s="138"/>
      <c r="F427" s="150"/>
      <c r="G427" s="151"/>
      <c r="H427" s="150"/>
    </row>
    <row r="428">
      <c r="B428" s="137"/>
      <c r="C428" s="138"/>
      <c r="F428" s="150"/>
      <c r="G428" s="151"/>
      <c r="H428" s="150"/>
    </row>
    <row r="429">
      <c r="B429" s="137"/>
      <c r="C429" s="138"/>
      <c r="F429" s="150"/>
      <c r="G429" s="151"/>
      <c r="H429" s="150"/>
    </row>
    <row r="430">
      <c r="B430" s="137"/>
      <c r="C430" s="138"/>
      <c r="F430" s="150"/>
      <c r="G430" s="151"/>
      <c r="H430" s="150"/>
    </row>
    <row r="431">
      <c r="B431" s="137"/>
      <c r="C431" s="138"/>
      <c r="F431" s="150"/>
      <c r="G431" s="151"/>
      <c r="H431" s="150"/>
    </row>
    <row r="432">
      <c r="B432" s="137"/>
      <c r="C432" s="138"/>
      <c r="F432" s="150"/>
      <c r="G432" s="151"/>
      <c r="H432" s="150"/>
    </row>
    <row r="433">
      <c r="B433" s="137"/>
      <c r="C433" s="138"/>
      <c r="F433" s="150"/>
      <c r="G433" s="151"/>
      <c r="H433" s="150"/>
    </row>
    <row r="434">
      <c r="B434" s="137"/>
      <c r="C434" s="138"/>
      <c r="F434" s="150"/>
      <c r="G434" s="151"/>
      <c r="H434" s="150"/>
    </row>
    <row r="435">
      <c r="B435" s="137"/>
      <c r="C435" s="138"/>
      <c r="F435" s="150"/>
      <c r="G435" s="151"/>
      <c r="H435" s="150"/>
    </row>
    <row r="436">
      <c r="B436" s="137"/>
      <c r="C436" s="138"/>
      <c r="F436" s="150"/>
      <c r="G436" s="151"/>
      <c r="H436" s="150"/>
    </row>
    <row r="437">
      <c r="B437" s="137"/>
      <c r="C437" s="138"/>
      <c r="F437" s="150"/>
      <c r="G437" s="151"/>
      <c r="H437" s="150"/>
    </row>
    <row r="438">
      <c r="B438" s="137"/>
      <c r="C438" s="138"/>
      <c r="F438" s="150"/>
      <c r="G438" s="151"/>
      <c r="H438" s="150"/>
    </row>
    <row r="439">
      <c r="B439" s="137"/>
      <c r="C439" s="138"/>
      <c r="F439" s="150"/>
      <c r="G439" s="151"/>
      <c r="H439" s="150"/>
    </row>
    <row r="440">
      <c r="B440" s="137"/>
      <c r="C440" s="138"/>
      <c r="F440" s="150"/>
      <c r="G440" s="151"/>
      <c r="H440" s="150"/>
    </row>
    <row r="441">
      <c r="B441" s="137"/>
      <c r="C441" s="138"/>
      <c r="F441" s="150"/>
      <c r="G441" s="151"/>
      <c r="H441" s="150"/>
    </row>
    <row r="442">
      <c r="B442" s="137"/>
      <c r="C442" s="138"/>
      <c r="F442" s="150"/>
      <c r="G442" s="151"/>
      <c r="H442" s="150"/>
    </row>
    <row r="443">
      <c r="B443" s="137"/>
      <c r="C443" s="138"/>
      <c r="F443" s="150"/>
      <c r="G443" s="151"/>
      <c r="H443" s="150"/>
    </row>
    <row r="444">
      <c r="B444" s="137"/>
      <c r="C444" s="138"/>
      <c r="F444" s="150"/>
      <c r="G444" s="151"/>
      <c r="H444" s="150"/>
    </row>
    <row r="445">
      <c r="B445" s="137"/>
      <c r="C445" s="138"/>
      <c r="F445" s="150"/>
      <c r="G445" s="151"/>
      <c r="H445" s="150"/>
    </row>
    <row r="446">
      <c r="B446" s="137"/>
      <c r="C446" s="138"/>
      <c r="F446" s="150"/>
      <c r="G446" s="151"/>
      <c r="H446" s="150"/>
    </row>
    <row r="447">
      <c r="B447" s="137"/>
      <c r="C447" s="138"/>
      <c r="F447" s="150"/>
      <c r="G447" s="151"/>
      <c r="H447" s="150"/>
    </row>
    <row r="448">
      <c r="B448" s="137"/>
      <c r="C448" s="138"/>
      <c r="F448" s="150"/>
      <c r="G448" s="151"/>
      <c r="H448" s="150"/>
    </row>
    <row r="449">
      <c r="B449" s="137"/>
      <c r="C449" s="138"/>
      <c r="F449" s="150"/>
      <c r="G449" s="151"/>
      <c r="H449" s="150"/>
    </row>
    <row r="450">
      <c r="B450" s="137"/>
      <c r="C450" s="138"/>
      <c r="F450" s="150"/>
      <c r="G450" s="151"/>
      <c r="H450" s="150"/>
    </row>
    <row r="451">
      <c r="B451" s="137"/>
      <c r="C451" s="138"/>
      <c r="F451" s="150"/>
      <c r="G451" s="151"/>
      <c r="H451" s="150"/>
    </row>
    <row r="452">
      <c r="B452" s="137"/>
      <c r="C452" s="138"/>
      <c r="F452" s="150"/>
      <c r="G452" s="151"/>
      <c r="H452" s="150"/>
    </row>
    <row r="453">
      <c r="B453" s="137"/>
      <c r="C453" s="138"/>
      <c r="F453" s="150"/>
      <c r="G453" s="151"/>
      <c r="H453" s="150"/>
    </row>
    <row r="454">
      <c r="B454" s="137"/>
      <c r="C454" s="138"/>
      <c r="F454" s="150"/>
      <c r="G454" s="151"/>
      <c r="H454" s="150"/>
    </row>
    <row r="455">
      <c r="B455" s="137"/>
      <c r="C455" s="138"/>
      <c r="F455" s="150"/>
      <c r="G455" s="151"/>
      <c r="H455" s="150"/>
    </row>
    <row r="456">
      <c r="B456" s="137"/>
      <c r="C456" s="138"/>
      <c r="F456" s="150"/>
      <c r="G456" s="151"/>
      <c r="H456" s="150"/>
    </row>
    <row r="457">
      <c r="B457" s="137"/>
      <c r="C457" s="138"/>
      <c r="F457" s="150"/>
      <c r="G457" s="151"/>
      <c r="H457" s="150"/>
    </row>
    <row r="458">
      <c r="B458" s="137"/>
      <c r="C458" s="138"/>
      <c r="F458" s="150"/>
      <c r="G458" s="151"/>
      <c r="H458" s="150"/>
    </row>
    <row r="459">
      <c r="B459" s="137"/>
      <c r="C459" s="138"/>
      <c r="F459" s="150"/>
      <c r="G459" s="151"/>
      <c r="H459" s="150"/>
    </row>
    <row r="460">
      <c r="B460" s="137"/>
      <c r="C460" s="138"/>
      <c r="F460" s="150"/>
      <c r="G460" s="151"/>
      <c r="H460" s="150"/>
    </row>
    <row r="461">
      <c r="B461" s="137"/>
      <c r="C461" s="138"/>
      <c r="F461" s="150"/>
      <c r="G461" s="151"/>
      <c r="H461" s="150"/>
    </row>
    <row r="462">
      <c r="B462" s="137"/>
      <c r="C462" s="138"/>
      <c r="F462" s="150"/>
      <c r="G462" s="151"/>
      <c r="H462" s="150"/>
    </row>
    <row r="463">
      <c r="B463" s="137"/>
      <c r="C463" s="138"/>
      <c r="F463" s="150"/>
      <c r="G463" s="151"/>
      <c r="H463" s="150"/>
    </row>
    <row r="464">
      <c r="B464" s="137"/>
      <c r="C464" s="138"/>
      <c r="F464" s="150"/>
      <c r="G464" s="151"/>
      <c r="H464" s="150"/>
    </row>
    <row r="465">
      <c r="B465" s="137"/>
      <c r="C465" s="138"/>
      <c r="F465" s="150"/>
      <c r="G465" s="151"/>
      <c r="H465" s="150"/>
    </row>
    <row r="466">
      <c r="B466" s="137"/>
      <c r="C466" s="138"/>
      <c r="F466" s="150"/>
      <c r="G466" s="151"/>
      <c r="H466" s="150"/>
    </row>
    <row r="467">
      <c r="B467" s="137"/>
      <c r="C467" s="138"/>
      <c r="F467" s="150"/>
      <c r="G467" s="151"/>
      <c r="H467" s="150"/>
    </row>
    <row r="468">
      <c r="B468" s="137"/>
      <c r="C468" s="138"/>
      <c r="F468" s="150"/>
      <c r="G468" s="151"/>
      <c r="H468" s="150"/>
    </row>
    <row r="469">
      <c r="B469" s="137"/>
      <c r="C469" s="138"/>
      <c r="F469" s="150"/>
      <c r="G469" s="151"/>
      <c r="H469" s="150"/>
    </row>
    <row r="470">
      <c r="B470" s="137"/>
      <c r="C470" s="138"/>
      <c r="F470" s="150"/>
      <c r="G470" s="151"/>
      <c r="H470" s="150"/>
    </row>
    <row r="471">
      <c r="B471" s="137"/>
      <c r="C471" s="138"/>
      <c r="F471" s="150"/>
      <c r="G471" s="151"/>
      <c r="H471" s="150"/>
    </row>
    <row r="472">
      <c r="B472" s="137"/>
      <c r="C472" s="138"/>
      <c r="F472" s="150"/>
      <c r="G472" s="151"/>
      <c r="H472" s="150"/>
    </row>
    <row r="473">
      <c r="B473" s="137"/>
      <c r="C473" s="138"/>
      <c r="F473" s="150"/>
      <c r="G473" s="151"/>
      <c r="H473" s="150"/>
    </row>
    <row r="474">
      <c r="B474" s="137"/>
      <c r="C474" s="138"/>
      <c r="F474" s="150"/>
      <c r="G474" s="151"/>
      <c r="H474" s="150"/>
    </row>
    <row r="475">
      <c r="B475" s="137"/>
      <c r="C475" s="138"/>
      <c r="F475" s="150"/>
      <c r="G475" s="151"/>
      <c r="H475" s="150"/>
    </row>
    <row r="476">
      <c r="B476" s="137"/>
      <c r="C476" s="138"/>
      <c r="F476" s="150"/>
      <c r="G476" s="151"/>
      <c r="H476" s="150"/>
    </row>
    <row r="477">
      <c r="B477" s="137"/>
      <c r="C477" s="138"/>
      <c r="F477" s="150"/>
      <c r="G477" s="151"/>
      <c r="H477" s="150"/>
    </row>
    <row r="478">
      <c r="B478" s="137"/>
      <c r="C478" s="138"/>
      <c r="F478" s="150"/>
      <c r="G478" s="151"/>
      <c r="H478" s="150"/>
    </row>
    <row r="479">
      <c r="B479" s="137"/>
      <c r="C479" s="138"/>
      <c r="F479" s="150"/>
      <c r="G479" s="151"/>
      <c r="H479" s="150"/>
    </row>
    <row r="480">
      <c r="B480" s="137"/>
      <c r="C480" s="138"/>
      <c r="F480" s="150"/>
      <c r="G480" s="151"/>
      <c r="H480" s="150"/>
    </row>
    <row r="481">
      <c r="B481" s="137"/>
      <c r="C481" s="138"/>
      <c r="F481" s="150"/>
      <c r="G481" s="151"/>
      <c r="H481" s="150"/>
    </row>
    <row r="482">
      <c r="B482" s="137"/>
      <c r="C482" s="138"/>
      <c r="F482" s="150"/>
      <c r="G482" s="151"/>
      <c r="H482" s="150"/>
    </row>
    <row r="483">
      <c r="B483" s="137"/>
      <c r="C483" s="138"/>
      <c r="F483" s="150"/>
      <c r="G483" s="151"/>
      <c r="H483" s="150"/>
    </row>
    <row r="484">
      <c r="B484" s="137"/>
      <c r="C484" s="138"/>
      <c r="F484" s="150"/>
      <c r="G484" s="151"/>
      <c r="H484" s="150"/>
    </row>
    <row r="485">
      <c r="B485" s="137"/>
      <c r="C485" s="138"/>
      <c r="F485" s="150"/>
      <c r="G485" s="151"/>
      <c r="H485" s="150"/>
    </row>
    <row r="486">
      <c r="B486" s="137"/>
      <c r="C486" s="138"/>
      <c r="F486" s="150"/>
      <c r="G486" s="151"/>
      <c r="H486" s="150"/>
    </row>
    <row r="487">
      <c r="B487" s="137"/>
      <c r="C487" s="138"/>
      <c r="F487" s="150"/>
      <c r="G487" s="151"/>
      <c r="H487" s="150"/>
    </row>
    <row r="488">
      <c r="B488" s="137"/>
      <c r="C488" s="138"/>
      <c r="F488" s="150"/>
      <c r="G488" s="151"/>
      <c r="H488" s="150"/>
    </row>
    <row r="489">
      <c r="B489" s="137"/>
      <c r="C489" s="138"/>
      <c r="F489" s="150"/>
      <c r="G489" s="151"/>
      <c r="H489" s="150"/>
    </row>
    <row r="490">
      <c r="B490" s="137"/>
      <c r="C490" s="138"/>
      <c r="F490" s="150"/>
      <c r="G490" s="151"/>
      <c r="H490" s="150"/>
    </row>
    <row r="491">
      <c r="B491" s="137"/>
      <c r="C491" s="138"/>
      <c r="F491" s="150"/>
      <c r="G491" s="151"/>
      <c r="H491" s="150"/>
    </row>
    <row r="492">
      <c r="B492" s="137"/>
      <c r="C492" s="138"/>
      <c r="F492" s="150"/>
      <c r="G492" s="151"/>
      <c r="H492" s="150"/>
    </row>
    <row r="493">
      <c r="B493" s="137"/>
      <c r="C493" s="138"/>
      <c r="F493" s="150"/>
      <c r="G493" s="151"/>
      <c r="H493" s="150"/>
    </row>
    <row r="494">
      <c r="B494" s="137"/>
      <c r="C494" s="138"/>
      <c r="F494" s="150"/>
      <c r="G494" s="151"/>
      <c r="H494" s="150"/>
    </row>
    <row r="495">
      <c r="B495" s="137"/>
      <c r="C495" s="138"/>
      <c r="F495" s="150"/>
      <c r="G495" s="151"/>
      <c r="H495" s="150"/>
    </row>
    <row r="496">
      <c r="B496" s="137"/>
      <c r="C496" s="138"/>
      <c r="F496" s="150"/>
      <c r="G496" s="151"/>
      <c r="H496" s="150"/>
    </row>
    <row r="497">
      <c r="B497" s="137"/>
      <c r="C497" s="138"/>
      <c r="F497" s="150"/>
      <c r="G497" s="151"/>
      <c r="H497" s="150"/>
    </row>
    <row r="498">
      <c r="B498" s="137"/>
      <c r="C498" s="138"/>
      <c r="F498" s="150"/>
      <c r="G498" s="151"/>
      <c r="H498" s="150"/>
    </row>
    <row r="499">
      <c r="B499" s="137"/>
      <c r="C499" s="138"/>
      <c r="F499" s="150"/>
      <c r="G499" s="151"/>
      <c r="H499" s="150"/>
    </row>
    <row r="500">
      <c r="B500" s="137"/>
      <c r="C500" s="138"/>
      <c r="F500" s="150"/>
      <c r="G500" s="151"/>
      <c r="H500" s="150"/>
    </row>
    <row r="501">
      <c r="B501" s="137"/>
      <c r="C501" s="138"/>
      <c r="F501" s="150"/>
      <c r="G501" s="151"/>
      <c r="H501" s="150"/>
    </row>
    <row r="502">
      <c r="B502" s="137"/>
      <c r="C502" s="138"/>
      <c r="F502" s="150"/>
      <c r="G502" s="151"/>
      <c r="H502" s="150"/>
    </row>
    <row r="503">
      <c r="B503" s="137"/>
      <c r="C503" s="138"/>
      <c r="F503" s="150"/>
      <c r="G503" s="151"/>
      <c r="H503" s="150"/>
    </row>
    <row r="504">
      <c r="B504" s="137"/>
      <c r="C504" s="138"/>
      <c r="F504" s="150"/>
      <c r="G504" s="151"/>
      <c r="H504" s="150"/>
    </row>
    <row r="505">
      <c r="B505" s="137"/>
      <c r="C505" s="138"/>
      <c r="F505" s="150"/>
      <c r="G505" s="151"/>
      <c r="H505" s="150"/>
    </row>
    <row r="506">
      <c r="B506" s="137"/>
      <c r="C506" s="138"/>
      <c r="F506" s="150"/>
      <c r="G506" s="151"/>
      <c r="H506" s="150"/>
    </row>
    <row r="507">
      <c r="B507" s="137"/>
      <c r="C507" s="138"/>
      <c r="F507" s="150"/>
      <c r="G507" s="151"/>
      <c r="H507" s="150"/>
    </row>
    <row r="508">
      <c r="B508" s="137"/>
      <c r="C508" s="138"/>
      <c r="F508" s="150"/>
      <c r="G508" s="151"/>
      <c r="H508" s="150"/>
    </row>
    <row r="509">
      <c r="B509" s="137"/>
      <c r="C509" s="138"/>
      <c r="F509" s="150"/>
      <c r="G509" s="151"/>
      <c r="H509" s="150"/>
    </row>
    <row r="510">
      <c r="B510" s="137"/>
      <c r="C510" s="138"/>
      <c r="F510" s="150"/>
      <c r="G510" s="151"/>
      <c r="H510" s="150"/>
    </row>
    <row r="511">
      <c r="B511" s="137"/>
      <c r="C511" s="138"/>
      <c r="F511" s="150"/>
      <c r="G511" s="151"/>
      <c r="H511" s="150"/>
    </row>
    <row r="512">
      <c r="B512" s="137"/>
      <c r="C512" s="138"/>
      <c r="F512" s="150"/>
      <c r="G512" s="151"/>
      <c r="H512" s="150"/>
    </row>
    <row r="513">
      <c r="B513" s="137"/>
      <c r="C513" s="138"/>
      <c r="F513" s="150"/>
      <c r="G513" s="151"/>
      <c r="H513" s="150"/>
    </row>
    <row r="514">
      <c r="B514" s="137"/>
      <c r="C514" s="138"/>
      <c r="F514" s="150"/>
      <c r="G514" s="151"/>
      <c r="H514" s="150"/>
    </row>
    <row r="515">
      <c r="B515" s="137"/>
      <c r="C515" s="138"/>
      <c r="F515" s="150"/>
      <c r="G515" s="151"/>
      <c r="H515" s="150"/>
    </row>
    <row r="516">
      <c r="B516" s="137"/>
      <c r="C516" s="138"/>
      <c r="F516" s="150"/>
      <c r="G516" s="151"/>
      <c r="H516" s="150"/>
    </row>
    <row r="517">
      <c r="B517" s="137"/>
      <c r="C517" s="138"/>
      <c r="F517" s="150"/>
      <c r="G517" s="151"/>
      <c r="H517" s="150"/>
    </row>
    <row r="518">
      <c r="B518" s="137"/>
      <c r="C518" s="138"/>
      <c r="F518" s="150"/>
      <c r="G518" s="151"/>
      <c r="H518" s="150"/>
    </row>
    <row r="519">
      <c r="B519" s="137"/>
      <c r="C519" s="138"/>
      <c r="F519" s="150"/>
      <c r="G519" s="151"/>
      <c r="H519" s="150"/>
    </row>
    <row r="520">
      <c r="B520" s="137"/>
      <c r="C520" s="138"/>
      <c r="F520" s="150"/>
      <c r="G520" s="151"/>
      <c r="H520" s="150"/>
    </row>
    <row r="521">
      <c r="B521" s="137"/>
      <c r="C521" s="138"/>
      <c r="F521" s="150"/>
      <c r="G521" s="151"/>
      <c r="H521" s="150"/>
    </row>
    <row r="522">
      <c r="B522" s="137"/>
      <c r="C522" s="138"/>
      <c r="F522" s="150"/>
      <c r="G522" s="151"/>
      <c r="H522" s="150"/>
    </row>
    <row r="523">
      <c r="B523" s="137"/>
      <c r="C523" s="138"/>
      <c r="F523" s="150"/>
      <c r="G523" s="151"/>
      <c r="H523" s="150"/>
    </row>
    <row r="524">
      <c r="B524" s="137"/>
      <c r="C524" s="138"/>
      <c r="F524" s="150"/>
      <c r="G524" s="151"/>
      <c r="H524" s="150"/>
    </row>
    <row r="525">
      <c r="B525" s="137"/>
      <c r="C525" s="138"/>
      <c r="F525" s="150"/>
      <c r="G525" s="151"/>
      <c r="H525" s="150"/>
    </row>
    <row r="526">
      <c r="B526" s="137"/>
      <c r="C526" s="138"/>
      <c r="F526" s="150"/>
      <c r="G526" s="151"/>
      <c r="H526" s="150"/>
    </row>
    <row r="527">
      <c r="B527" s="137"/>
      <c r="C527" s="138"/>
      <c r="F527" s="150"/>
      <c r="G527" s="151"/>
      <c r="H527" s="150"/>
    </row>
    <row r="528">
      <c r="B528" s="137"/>
      <c r="C528" s="138"/>
      <c r="F528" s="150"/>
      <c r="G528" s="151"/>
      <c r="H528" s="150"/>
    </row>
    <row r="529">
      <c r="B529" s="137"/>
      <c r="C529" s="138"/>
      <c r="F529" s="150"/>
      <c r="G529" s="151"/>
      <c r="H529" s="150"/>
    </row>
    <row r="530">
      <c r="B530" s="137"/>
      <c r="C530" s="138"/>
      <c r="F530" s="150"/>
      <c r="G530" s="151"/>
      <c r="H530" s="150"/>
    </row>
    <row r="531">
      <c r="B531" s="137"/>
      <c r="C531" s="138"/>
      <c r="F531" s="150"/>
      <c r="G531" s="151"/>
      <c r="H531" s="150"/>
    </row>
    <row r="532">
      <c r="B532" s="137"/>
      <c r="C532" s="138"/>
      <c r="F532" s="150"/>
      <c r="G532" s="151"/>
      <c r="H532" s="150"/>
    </row>
    <row r="533">
      <c r="B533" s="137"/>
      <c r="C533" s="138"/>
      <c r="F533" s="150"/>
      <c r="G533" s="151"/>
      <c r="H533" s="150"/>
    </row>
    <row r="534">
      <c r="B534" s="137"/>
      <c r="C534" s="138"/>
      <c r="F534" s="150"/>
      <c r="G534" s="151"/>
      <c r="H534" s="150"/>
    </row>
    <row r="535">
      <c r="B535" s="137"/>
      <c r="C535" s="138"/>
      <c r="F535" s="150"/>
      <c r="G535" s="151"/>
      <c r="H535" s="150"/>
    </row>
    <row r="536">
      <c r="B536" s="137"/>
      <c r="C536" s="138"/>
      <c r="F536" s="150"/>
      <c r="G536" s="151"/>
      <c r="H536" s="150"/>
    </row>
    <row r="537">
      <c r="B537" s="137"/>
      <c r="C537" s="138"/>
      <c r="F537" s="150"/>
      <c r="G537" s="151"/>
      <c r="H537" s="150"/>
    </row>
    <row r="538">
      <c r="B538" s="137"/>
      <c r="C538" s="138"/>
      <c r="F538" s="150"/>
      <c r="G538" s="151"/>
      <c r="H538" s="150"/>
    </row>
    <row r="539">
      <c r="B539" s="137"/>
      <c r="C539" s="138"/>
      <c r="F539" s="150"/>
      <c r="G539" s="151"/>
      <c r="H539" s="150"/>
    </row>
    <row r="540">
      <c r="B540" s="137"/>
      <c r="C540" s="138"/>
      <c r="F540" s="150"/>
      <c r="G540" s="151"/>
      <c r="H540" s="150"/>
    </row>
    <row r="541">
      <c r="B541" s="137"/>
      <c r="C541" s="138"/>
      <c r="F541" s="150"/>
      <c r="G541" s="151"/>
      <c r="H541" s="150"/>
    </row>
    <row r="542">
      <c r="B542" s="137"/>
      <c r="C542" s="138"/>
      <c r="F542" s="150"/>
      <c r="G542" s="151"/>
      <c r="H542" s="150"/>
    </row>
    <row r="543">
      <c r="B543" s="137"/>
      <c r="C543" s="138"/>
      <c r="F543" s="150"/>
      <c r="G543" s="151"/>
      <c r="H543" s="150"/>
    </row>
    <row r="544">
      <c r="B544" s="137"/>
      <c r="C544" s="138"/>
      <c r="F544" s="150"/>
      <c r="G544" s="151"/>
      <c r="H544" s="150"/>
    </row>
    <row r="545">
      <c r="B545" s="137"/>
      <c r="C545" s="138"/>
      <c r="F545" s="150"/>
      <c r="G545" s="151"/>
      <c r="H545" s="150"/>
    </row>
    <row r="546">
      <c r="B546" s="137"/>
      <c r="C546" s="138"/>
      <c r="F546" s="150"/>
      <c r="G546" s="151"/>
      <c r="H546" s="150"/>
    </row>
    <row r="547">
      <c r="B547" s="137"/>
      <c r="C547" s="138"/>
      <c r="F547" s="150"/>
      <c r="G547" s="151"/>
      <c r="H547" s="150"/>
    </row>
    <row r="548">
      <c r="B548" s="137"/>
      <c r="C548" s="138"/>
      <c r="F548" s="150"/>
      <c r="G548" s="151"/>
      <c r="H548" s="150"/>
    </row>
    <row r="549">
      <c r="B549" s="137"/>
      <c r="C549" s="138"/>
      <c r="F549" s="150"/>
      <c r="G549" s="151"/>
      <c r="H549" s="150"/>
    </row>
    <row r="550">
      <c r="B550" s="137"/>
      <c r="C550" s="138"/>
      <c r="F550" s="150"/>
      <c r="G550" s="151"/>
      <c r="H550" s="150"/>
    </row>
    <row r="551">
      <c r="B551" s="137"/>
      <c r="C551" s="138"/>
      <c r="F551" s="150"/>
      <c r="G551" s="151"/>
      <c r="H551" s="150"/>
    </row>
    <row r="552">
      <c r="B552" s="137"/>
      <c r="C552" s="138"/>
      <c r="F552" s="150"/>
      <c r="G552" s="151"/>
      <c r="H552" s="150"/>
    </row>
    <row r="553">
      <c r="B553" s="137"/>
      <c r="C553" s="138"/>
      <c r="F553" s="150"/>
      <c r="G553" s="151"/>
      <c r="H553" s="150"/>
    </row>
    <row r="554">
      <c r="B554" s="137"/>
      <c r="C554" s="138"/>
      <c r="F554" s="150"/>
      <c r="G554" s="151"/>
      <c r="H554" s="150"/>
    </row>
    <row r="555">
      <c r="B555" s="137"/>
      <c r="C555" s="138"/>
      <c r="F555" s="150"/>
      <c r="G555" s="151"/>
      <c r="H555" s="150"/>
    </row>
    <row r="556">
      <c r="B556" s="137"/>
      <c r="C556" s="138"/>
      <c r="F556" s="150"/>
      <c r="G556" s="151"/>
      <c r="H556" s="150"/>
    </row>
    <row r="557">
      <c r="B557" s="137"/>
      <c r="C557" s="138"/>
      <c r="F557" s="150"/>
      <c r="G557" s="151"/>
      <c r="H557" s="150"/>
    </row>
    <row r="558">
      <c r="B558" s="137"/>
      <c r="C558" s="138"/>
      <c r="F558" s="150"/>
      <c r="G558" s="151"/>
      <c r="H558" s="150"/>
    </row>
    <row r="559">
      <c r="B559" s="137"/>
      <c r="C559" s="138"/>
      <c r="F559" s="150"/>
      <c r="G559" s="151"/>
      <c r="H559" s="150"/>
    </row>
    <row r="560">
      <c r="B560" s="137"/>
      <c r="C560" s="138"/>
      <c r="F560" s="150"/>
      <c r="G560" s="151"/>
      <c r="H560" s="150"/>
    </row>
    <row r="561">
      <c r="B561" s="137"/>
      <c r="C561" s="138"/>
      <c r="F561" s="150"/>
      <c r="G561" s="151"/>
      <c r="H561" s="150"/>
    </row>
    <row r="562">
      <c r="B562" s="137"/>
      <c r="C562" s="138"/>
      <c r="F562" s="150"/>
      <c r="G562" s="151"/>
      <c r="H562" s="150"/>
    </row>
    <row r="563">
      <c r="B563" s="137"/>
      <c r="C563" s="138"/>
      <c r="F563" s="150"/>
      <c r="G563" s="151"/>
      <c r="H563" s="150"/>
    </row>
    <row r="564">
      <c r="B564" s="137"/>
      <c r="C564" s="138"/>
      <c r="F564" s="150"/>
      <c r="G564" s="151"/>
      <c r="H564" s="150"/>
    </row>
    <row r="565">
      <c r="B565" s="137"/>
      <c r="C565" s="138"/>
      <c r="F565" s="150"/>
      <c r="G565" s="151"/>
      <c r="H565" s="150"/>
    </row>
    <row r="566">
      <c r="B566" s="137"/>
      <c r="C566" s="138"/>
      <c r="F566" s="150"/>
      <c r="G566" s="151"/>
      <c r="H566" s="150"/>
    </row>
    <row r="567">
      <c r="B567" s="137"/>
      <c r="C567" s="138"/>
      <c r="F567" s="150"/>
      <c r="G567" s="151"/>
      <c r="H567" s="150"/>
    </row>
    <row r="568">
      <c r="B568" s="137"/>
      <c r="C568" s="138"/>
      <c r="F568" s="150"/>
      <c r="G568" s="151"/>
      <c r="H568" s="150"/>
    </row>
    <row r="569">
      <c r="B569" s="137"/>
      <c r="C569" s="138"/>
      <c r="F569" s="150"/>
      <c r="G569" s="151"/>
      <c r="H569" s="150"/>
    </row>
    <row r="570">
      <c r="B570" s="137"/>
      <c r="C570" s="138"/>
      <c r="F570" s="150"/>
      <c r="G570" s="151"/>
      <c r="H570" s="150"/>
    </row>
    <row r="571">
      <c r="B571" s="137"/>
      <c r="C571" s="138"/>
      <c r="F571" s="150"/>
      <c r="G571" s="151"/>
      <c r="H571" s="150"/>
    </row>
    <row r="572">
      <c r="B572" s="137"/>
      <c r="C572" s="138"/>
      <c r="F572" s="150"/>
      <c r="G572" s="151"/>
      <c r="H572" s="150"/>
    </row>
    <row r="573">
      <c r="B573" s="137"/>
      <c r="C573" s="138"/>
      <c r="F573" s="150"/>
      <c r="G573" s="151"/>
      <c r="H573" s="150"/>
    </row>
    <row r="574">
      <c r="B574" s="137"/>
      <c r="C574" s="138"/>
      <c r="F574" s="150"/>
      <c r="G574" s="151"/>
      <c r="H574" s="150"/>
    </row>
    <row r="575">
      <c r="B575" s="137"/>
      <c r="C575" s="138"/>
      <c r="F575" s="150"/>
      <c r="G575" s="151"/>
      <c r="H575" s="150"/>
    </row>
    <row r="576">
      <c r="B576" s="137"/>
      <c r="C576" s="138"/>
      <c r="F576" s="150"/>
      <c r="G576" s="151"/>
      <c r="H576" s="150"/>
    </row>
    <row r="577">
      <c r="B577" s="137"/>
      <c r="C577" s="138"/>
      <c r="F577" s="150"/>
      <c r="G577" s="151"/>
      <c r="H577" s="150"/>
    </row>
    <row r="578">
      <c r="B578" s="137"/>
      <c r="C578" s="138"/>
      <c r="F578" s="150"/>
      <c r="G578" s="151"/>
      <c r="H578" s="150"/>
    </row>
    <row r="579">
      <c r="B579" s="137"/>
      <c r="C579" s="138"/>
      <c r="F579" s="150"/>
      <c r="G579" s="151"/>
      <c r="H579" s="150"/>
    </row>
    <row r="580">
      <c r="B580" s="137"/>
      <c r="C580" s="138"/>
      <c r="F580" s="150"/>
      <c r="G580" s="151"/>
      <c r="H580" s="150"/>
    </row>
    <row r="581">
      <c r="B581" s="137"/>
      <c r="C581" s="138"/>
      <c r="F581" s="150"/>
      <c r="G581" s="151"/>
      <c r="H581" s="150"/>
    </row>
    <row r="582">
      <c r="B582" s="137"/>
      <c r="C582" s="138"/>
      <c r="F582" s="150"/>
      <c r="G582" s="151"/>
      <c r="H582" s="150"/>
    </row>
    <row r="583">
      <c r="B583" s="137"/>
      <c r="C583" s="138"/>
      <c r="F583" s="150"/>
      <c r="G583" s="151"/>
      <c r="H583" s="150"/>
    </row>
    <row r="584">
      <c r="B584" s="137"/>
      <c r="C584" s="138"/>
      <c r="F584" s="150"/>
      <c r="G584" s="151"/>
      <c r="H584" s="150"/>
    </row>
    <row r="585">
      <c r="B585" s="137"/>
      <c r="C585" s="138"/>
      <c r="F585" s="150"/>
      <c r="G585" s="151"/>
      <c r="H585" s="150"/>
    </row>
    <row r="586">
      <c r="B586" s="137"/>
      <c r="C586" s="138"/>
      <c r="F586" s="150"/>
      <c r="G586" s="151"/>
      <c r="H586" s="150"/>
    </row>
    <row r="587">
      <c r="B587" s="137"/>
      <c r="C587" s="138"/>
      <c r="F587" s="150"/>
      <c r="G587" s="151"/>
      <c r="H587" s="150"/>
    </row>
    <row r="588">
      <c r="B588" s="137"/>
      <c r="C588" s="138"/>
      <c r="F588" s="150"/>
      <c r="G588" s="151"/>
      <c r="H588" s="150"/>
    </row>
    <row r="589">
      <c r="B589" s="137"/>
      <c r="C589" s="138"/>
      <c r="F589" s="150"/>
      <c r="G589" s="151"/>
      <c r="H589" s="150"/>
    </row>
    <row r="590">
      <c r="B590" s="137"/>
      <c r="C590" s="138"/>
      <c r="F590" s="150"/>
      <c r="G590" s="151"/>
      <c r="H590" s="150"/>
    </row>
    <row r="591">
      <c r="B591" s="137"/>
      <c r="C591" s="138"/>
      <c r="F591" s="150"/>
      <c r="G591" s="151"/>
      <c r="H591" s="150"/>
    </row>
    <row r="592">
      <c r="B592" s="137"/>
      <c r="C592" s="138"/>
      <c r="F592" s="150"/>
      <c r="G592" s="151"/>
      <c r="H592" s="150"/>
    </row>
    <row r="593">
      <c r="B593" s="137"/>
      <c r="C593" s="138"/>
      <c r="F593" s="150"/>
      <c r="G593" s="151"/>
      <c r="H593" s="150"/>
    </row>
    <row r="594">
      <c r="B594" s="137"/>
      <c r="C594" s="138"/>
      <c r="F594" s="150"/>
      <c r="G594" s="151"/>
      <c r="H594" s="150"/>
    </row>
    <row r="595">
      <c r="B595" s="137"/>
      <c r="C595" s="138"/>
      <c r="F595" s="150"/>
      <c r="G595" s="151"/>
      <c r="H595" s="150"/>
    </row>
    <row r="596">
      <c r="B596" s="137"/>
      <c r="C596" s="138"/>
      <c r="F596" s="150"/>
      <c r="G596" s="151"/>
      <c r="H596" s="150"/>
    </row>
    <row r="597">
      <c r="B597" s="137"/>
      <c r="C597" s="138"/>
      <c r="F597" s="150"/>
      <c r="G597" s="151"/>
      <c r="H597" s="150"/>
    </row>
    <row r="598">
      <c r="B598" s="137"/>
      <c r="C598" s="138"/>
      <c r="F598" s="150"/>
      <c r="G598" s="151"/>
      <c r="H598" s="150"/>
    </row>
    <row r="599">
      <c r="B599" s="137"/>
      <c r="C599" s="138"/>
      <c r="F599" s="150"/>
      <c r="G599" s="151"/>
      <c r="H599" s="150"/>
    </row>
    <row r="600">
      <c r="B600" s="137"/>
      <c r="C600" s="138"/>
      <c r="F600" s="150"/>
      <c r="G600" s="151"/>
      <c r="H600" s="150"/>
    </row>
    <row r="601">
      <c r="B601" s="137"/>
      <c r="C601" s="138"/>
      <c r="F601" s="150"/>
      <c r="G601" s="151"/>
      <c r="H601" s="150"/>
    </row>
    <row r="602">
      <c r="B602" s="137"/>
      <c r="C602" s="138"/>
      <c r="F602" s="150"/>
      <c r="G602" s="151"/>
      <c r="H602" s="150"/>
    </row>
    <row r="603">
      <c r="B603" s="137"/>
      <c r="C603" s="138"/>
      <c r="F603" s="150"/>
      <c r="G603" s="151"/>
      <c r="H603" s="150"/>
    </row>
    <row r="604">
      <c r="B604" s="137"/>
      <c r="C604" s="138"/>
      <c r="F604" s="150"/>
      <c r="G604" s="151"/>
      <c r="H604" s="150"/>
    </row>
    <row r="605">
      <c r="B605" s="137"/>
      <c r="C605" s="138"/>
      <c r="F605" s="150"/>
      <c r="G605" s="151"/>
      <c r="H605" s="150"/>
    </row>
    <row r="606">
      <c r="B606" s="137"/>
      <c r="C606" s="138"/>
      <c r="F606" s="150"/>
      <c r="G606" s="151"/>
      <c r="H606" s="150"/>
    </row>
    <row r="607">
      <c r="B607" s="137"/>
      <c r="C607" s="138"/>
      <c r="F607" s="150"/>
      <c r="G607" s="151"/>
      <c r="H607" s="150"/>
    </row>
    <row r="608">
      <c r="B608" s="137"/>
      <c r="C608" s="138"/>
      <c r="F608" s="150"/>
      <c r="G608" s="151"/>
      <c r="H608" s="150"/>
    </row>
    <row r="609">
      <c r="B609" s="137"/>
      <c r="C609" s="138"/>
      <c r="F609" s="150"/>
      <c r="G609" s="151"/>
      <c r="H609" s="150"/>
    </row>
    <row r="610">
      <c r="B610" s="137"/>
      <c r="C610" s="138"/>
      <c r="F610" s="150"/>
      <c r="G610" s="151"/>
      <c r="H610" s="150"/>
    </row>
    <row r="611">
      <c r="B611" s="137"/>
      <c r="C611" s="138"/>
      <c r="F611" s="150"/>
      <c r="G611" s="151"/>
      <c r="H611" s="150"/>
    </row>
    <row r="612">
      <c r="B612" s="137"/>
      <c r="C612" s="138"/>
      <c r="F612" s="150"/>
      <c r="G612" s="151"/>
      <c r="H612" s="150"/>
    </row>
    <row r="613">
      <c r="B613" s="137"/>
      <c r="C613" s="138"/>
      <c r="F613" s="150"/>
      <c r="G613" s="151"/>
      <c r="H613" s="150"/>
    </row>
    <row r="614">
      <c r="B614" s="137"/>
      <c r="C614" s="138"/>
      <c r="F614" s="150"/>
      <c r="G614" s="151"/>
      <c r="H614" s="150"/>
    </row>
    <row r="615">
      <c r="B615" s="137"/>
      <c r="C615" s="138"/>
      <c r="F615" s="150"/>
      <c r="G615" s="151"/>
      <c r="H615" s="150"/>
    </row>
    <row r="616">
      <c r="B616" s="137"/>
      <c r="C616" s="138"/>
      <c r="F616" s="150"/>
      <c r="G616" s="151"/>
      <c r="H616" s="150"/>
    </row>
    <row r="617">
      <c r="B617" s="137"/>
      <c r="C617" s="138"/>
      <c r="F617" s="150"/>
      <c r="G617" s="151"/>
      <c r="H617" s="150"/>
    </row>
    <row r="618">
      <c r="B618" s="137"/>
      <c r="C618" s="138"/>
      <c r="F618" s="150"/>
      <c r="G618" s="151"/>
      <c r="H618" s="150"/>
    </row>
    <row r="619">
      <c r="B619" s="137"/>
      <c r="C619" s="138"/>
      <c r="F619" s="150"/>
      <c r="G619" s="151"/>
      <c r="H619" s="150"/>
    </row>
    <row r="620">
      <c r="B620" s="137"/>
      <c r="C620" s="138"/>
      <c r="F620" s="150"/>
      <c r="G620" s="151"/>
      <c r="H620" s="150"/>
    </row>
    <row r="621">
      <c r="B621" s="137"/>
      <c r="C621" s="138"/>
      <c r="F621" s="150"/>
      <c r="G621" s="151"/>
      <c r="H621" s="150"/>
    </row>
    <row r="622">
      <c r="B622" s="137"/>
      <c r="C622" s="138"/>
      <c r="F622" s="150"/>
      <c r="G622" s="151"/>
      <c r="H622" s="150"/>
    </row>
    <row r="623">
      <c r="B623" s="137"/>
      <c r="C623" s="138"/>
      <c r="F623" s="150"/>
      <c r="G623" s="151"/>
      <c r="H623" s="150"/>
    </row>
    <row r="624">
      <c r="B624" s="137"/>
      <c r="C624" s="138"/>
      <c r="F624" s="150"/>
      <c r="G624" s="151"/>
      <c r="H624" s="150"/>
    </row>
    <row r="625">
      <c r="B625" s="137"/>
      <c r="C625" s="138"/>
      <c r="F625" s="150"/>
      <c r="G625" s="151"/>
      <c r="H625" s="150"/>
    </row>
    <row r="626">
      <c r="B626" s="137"/>
      <c r="C626" s="138"/>
      <c r="F626" s="150"/>
      <c r="G626" s="151"/>
      <c r="H626" s="150"/>
    </row>
    <row r="627">
      <c r="B627" s="137"/>
      <c r="C627" s="138"/>
      <c r="F627" s="150"/>
      <c r="G627" s="151"/>
      <c r="H627" s="150"/>
    </row>
    <row r="628">
      <c r="B628" s="137"/>
      <c r="C628" s="138"/>
      <c r="F628" s="150"/>
      <c r="G628" s="151"/>
      <c r="H628" s="150"/>
    </row>
    <row r="629">
      <c r="B629" s="137"/>
      <c r="C629" s="138"/>
      <c r="F629" s="150"/>
      <c r="G629" s="151"/>
      <c r="H629" s="150"/>
    </row>
    <row r="630">
      <c r="B630" s="137"/>
      <c r="C630" s="138"/>
      <c r="F630" s="150"/>
      <c r="G630" s="151"/>
      <c r="H630" s="150"/>
    </row>
    <row r="631">
      <c r="B631" s="137"/>
      <c r="C631" s="138"/>
      <c r="F631" s="150"/>
      <c r="G631" s="151"/>
      <c r="H631" s="150"/>
    </row>
    <row r="632">
      <c r="B632" s="137"/>
      <c r="C632" s="138"/>
      <c r="F632" s="150"/>
      <c r="G632" s="151"/>
      <c r="H632" s="150"/>
    </row>
    <row r="633">
      <c r="B633" s="137"/>
      <c r="C633" s="138"/>
      <c r="F633" s="150"/>
      <c r="G633" s="151"/>
      <c r="H633" s="150"/>
    </row>
    <row r="634">
      <c r="B634" s="137"/>
      <c r="C634" s="138"/>
      <c r="F634" s="150"/>
      <c r="G634" s="151"/>
      <c r="H634" s="150"/>
    </row>
    <row r="635">
      <c r="B635" s="137"/>
      <c r="C635" s="138"/>
      <c r="F635" s="150"/>
      <c r="G635" s="151"/>
      <c r="H635" s="150"/>
    </row>
    <row r="636">
      <c r="B636" s="137"/>
      <c r="C636" s="138"/>
      <c r="F636" s="150"/>
      <c r="G636" s="151"/>
      <c r="H636" s="150"/>
    </row>
    <row r="637">
      <c r="B637" s="137"/>
      <c r="C637" s="138"/>
      <c r="F637" s="150"/>
      <c r="G637" s="151"/>
      <c r="H637" s="150"/>
    </row>
    <row r="638">
      <c r="B638" s="137"/>
      <c r="C638" s="138"/>
      <c r="F638" s="150"/>
      <c r="G638" s="151"/>
      <c r="H638" s="150"/>
    </row>
    <row r="639">
      <c r="B639" s="137"/>
      <c r="C639" s="138"/>
      <c r="F639" s="150"/>
      <c r="G639" s="151"/>
      <c r="H639" s="150"/>
    </row>
    <row r="640">
      <c r="B640" s="137"/>
      <c r="C640" s="138"/>
      <c r="F640" s="150"/>
      <c r="G640" s="151"/>
      <c r="H640" s="150"/>
    </row>
    <row r="641">
      <c r="B641" s="137"/>
      <c r="C641" s="138"/>
      <c r="F641" s="150"/>
      <c r="G641" s="151"/>
      <c r="H641" s="150"/>
    </row>
    <row r="642">
      <c r="B642" s="137"/>
      <c r="C642" s="138"/>
      <c r="F642" s="150"/>
      <c r="G642" s="151"/>
      <c r="H642" s="150"/>
    </row>
    <row r="643">
      <c r="B643" s="137"/>
      <c r="C643" s="138"/>
      <c r="F643" s="150"/>
      <c r="G643" s="151"/>
      <c r="H643" s="150"/>
    </row>
    <row r="644">
      <c r="B644" s="137"/>
      <c r="C644" s="138"/>
      <c r="F644" s="150"/>
      <c r="G644" s="151"/>
      <c r="H644" s="150"/>
    </row>
    <row r="645">
      <c r="B645" s="137"/>
      <c r="C645" s="138"/>
      <c r="F645" s="150"/>
      <c r="G645" s="151"/>
      <c r="H645" s="150"/>
    </row>
    <row r="646">
      <c r="B646" s="137"/>
      <c r="C646" s="138"/>
      <c r="F646" s="150"/>
      <c r="G646" s="151"/>
      <c r="H646" s="150"/>
    </row>
    <row r="647">
      <c r="B647" s="137"/>
      <c r="C647" s="138"/>
      <c r="F647" s="150"/>
      <c r="G647" s="151"/>
      <c r="H647" s="150"/>
    </row>
    <row r="648">
      <c r="B648" s="137"/>
      <c r="C648" s="138"/>
      <c r="F648" s="150"/>
      <c r="G648" s="151"/>
      <c r="H648" s="150"/>
    </row>
    <row r="649">
      <c r="B649" s="137"/>
      <c r="C649" s="138"/>
      <c r="F649" s="150"/>
      <c r="G649" s="151"/>
      <c r="H649" s="150"/>
    </row>
    <row r="650">
      <c r="B650" s="137"/>
      <c r="C650" s="138"/>
      <c r="F650" s="150"/>
      <c r="G650" s="151"/>
      <c r="H650" s="150"/>
    </row>
    <row r="651">
      <c r="B651" s="137"/>
      <c r="C651" s="138"/>
      <c r="F651" s="150"/>
      <c r="G651" s="151"/>
      <c r="H651" s="150"/>
    </row>
    <row r="652">
      <c r="B652" s="137"/>
      <c r="C652" s="138"/>
      <c r="F652" s="150"/>
      <c r="G652" s="151"/>
      <c r="H652" s="150"/>
    </row>
    <row r="653">
      <c r="B653" s="137"/>
      <c r="C653" s="138"/>
      <c r="F653" s="150"/>
      <c r="G653" s="151"/>
      <c r="H653" s="150"/>
    </row>
    <row r="654">
      <c r="B654" s="137"/>
      <c r="C654" s="138"/>
      <c r="F654" s="150"/>
      <c r="G654" s="151"/>
      <c r="H654" s="150"/>
    </row>
    <row r="655">
      <c r="B655" s="137"/>
      <c r="C655" s="138"/>
      <c r="F655" s="150"/>
      <c r="G655" s="151"/>
      <c r="H655" s="150"/>
    </row>
    <row r="656">
      <c r="B656" s="137"/>
      <c r="C656" s="138"/>
      <c r="F656" s="150"/>
      <c r="G656" s="151"/>
      <c r="H656" s="150"/>
    </row>
    <row r="657">
      <c r="B657" s="137"/>
      <c r="C657" s="138"/>
      <c r="F657" s="150"/>
      <c r="G657" s="151"/>
      <c r="H657" s="150"/>
    </row>
    <row r="658">
      <c r="B658" s="137"/>
      <c r="C658" s="138"/>
      <c r="F658" s="150"/>
      <c r="G658" s="151"/>
      <c r="H658" s="150"/>
    </row>
    <row r="659">
      <c r="B659" s="137"/>
      <c r="C659" s="138"/>
      <c r="F659" s="150"/>
      <c r="G659" s="151"/>
      <c r="H659" s="150"/>
    </row>
    <row r="660">
      <c r="B660" s="137"/>
      <c r="C660" s="138"/>
      <c r="F660" s="150"/>
      <c r="G660" s="151"/>
      <c r="H660" s="150"/>
    </row>
    <row r="661">
      <c r="B661" s="137"/>
      <c r="C661" s="138"/>
      <c r="F661" s="150"/>
      <c r="G661" s="151"/>
      <c r="H661" s="150"/>
    </row>
    <row r="662">
      <c r="B662" s="137"/>
      <c r="C662" s="138"/>
      <c r="F662" s="150"/>
      <c r="G662" s="151"/>
      <c r="H662" s="150"/>
    </row>
    <row r="663">
      <c r="B663" s="137"/>
      <c r="C663" s="138"/>
      <c r="F663" s="150"/>
      <c r="G663" s="151"/>
      <c r="H663" s="150"/>
    </row>
    <row r="664">
      <c r="B664" s="137"/>
      <c r="C664" s="138"/>
      <c r="F664" s="150"/>
      <c r="G664" s="151"/>
      <c r="H664" s="150"/>
    </row>
    <row r="665">
      <c r="B665" s="137"/>
      <c r="C665" s="138"/>
      <c r="F665" s="150"/>
      <c r="G665" s="151"/>
      <c r="H665" s="150"/>
    </row>
    <row r="666">
      <c r="B666" s="137"/>
      <c r="C666" s="138"/>
      <c r="F666" s="150"/>
      <c r="G666" s="151"/>
      <c r="H666" s="150"/>
    </row>
    <row r="667">
      <c r="B667" s="137"/>
      <c r="C667" s="138"/>
      <c r="F667" s="150"/>
      <c r="G667" s="151"/>
      <c r="H667" s="150"/>
    </row>
    <row r="668">
      <c r="B668" s="137"/>
      <c r="C668" s="138"/>
      <c r="F668" s="150"/>
      <c r="G668" s="151"/>
      <c r="H668" s="150"/>
    </row>
    <row r="669">
      <c r="B669" s="137"/>
      <c r="C669" s="138"/>
      <c r="F669" s="150"/>
      <c r="G669" s="151"/>
      <c r="H669" s="150"/>
    </row>
    <row r="670">
      <c r="B670" s="137"/>
      <c r="C670" s="138"/>
      <c r="F670" s="150"/>
      <c r="G670" s="151"/>
      <c r="H670" s="150"/>
    </row>
    <row r="671">
      <c r="B671" s="137"/>
      <c r="C671" s="138"/>
      <c r="F671" s="150"/>
      <c r="G671" s="151"/>
      <c r="H671" s="150"/>
    </row>
    <row r="672">
      <c r="B672" s="137"/>
      <c r="C672" s="138"/>
      <c r="F672" s="150"/>
      <c r="G672" s="151"/>
      <c r="H672" s="150"/>
    </row>
    <row r="673">
      <c r="B673" s="137"/>
      <c r="C673" s="138"/>
      <c r="F673" s="150"/>
      <c r="G673" s="151"/>
      <c r="H673" s="150"/>
    </row>
    <row r="674">
      <c r="B674" s="137"/>
      <c r="C674" s="138"/>
      <c r="F674" s="150"/>
      <c r="G674" s="151"/>
      <c r="H674" s="150"/>
    </row>
    <row r="675">
      <c r="B675" s="137"/>
      <c r="C675" s="138"/>
      <c r="F675" s="150"/>
      <c r="G675" s="151"/>
      <c r="H675" s="150"/>
    </row>
    <row r="676">
      <c r="B676" s="137"/>
      <c r="C676" s="138"/>
      <c r="F676" s="150"/>
      <c r="G676" s="151"/>
      <c r="H676" s="150"/>
    </row>
    <row r="677">
      <c r="B677" s="137"/>
      <c r="C677" s="138"/>
      <c r="F677" s="150"/>
      <c r="G677" s="151"/>
      <c r="H677" s="150"/>
    </row>
    <row r="678">
      <c r="B678" s="137"/>
      <c r="C678" s="138"/>
      <c r="F678" s="150"/>
      <c r="G678" s="151"/>
      <c r="H678" s="150"/>
    </row>
    <row r="679">
      <c r="B679" s="137"/>
      <c r="C679" s="138"/>
      <c r="F679" s="150"/>
      <c r="G679" s="151"/>
      <c r="H679" s="150"/>
    </row>
    <row r="680">
      <c r="B680" s="137"/>
      <c r="C680" s="138"/>
      <c r="F680" s="150"/>
      <c r="G680" s="151"/>
      <c r="H680" s="150"/>
    </row>
    <row r="681">
      <c r="B681" s="137"/>
      <c r="C681" s="138"/>
      <c r="F681" s="150"/>
      <c r="G681" s="151"/>
      <c r="H681" s="150"/>
    </row>
    <row r="682">
      <c r="B682" s="137"/>
      <c r="C682" s="138"/>
      <c r="F682" s="150"/>
      <c r="G682" s="151"/>
      <c r="H682" s="150"/>
    </row>
    <row r="683">
      <c r="B683" s="137"/>
      <c r="C683" s="138"/>
      <c r="F683" s="150"/>
      <c r="G683" s="151"/>
      <c r="H683" s="150"/>
    </row>
    <row r="684">
      <c r="B684" s="137"/>
      <c r="C684" s="138"/>
      <c r="F684" s="150"/>
      <c r="G684" s="151"/>
      <c r="H684" s="150"/>
    </row>
    <row r="685">
      <c r="B685" s="137"/>
      <c r="C685" s="138"/>
      <c r="F685" s="150"/>
      <c r="G685" s="151"/>
      <c r="H685" s="150"/>
    </row>
    <row r="686">
      <c r="B686" s="137"/>
      <c r="C686" s="138"/>
      <c r="F686" s="150"/>
      <c r="G686" s="151"/>
      <c r="H686" s="150"/>
    </row>
    <row r="687">
      <c r="B687" s="137"/>
      <c r="C687" s="138"/>
      <c r="F687" s="150"/>
      <c r="G687" s="151"/>
      <c r="H687" s="150"/>
    </row>
    <row r="688">
      <c r="B688" s="137"/>
      <c r="C688" s="138"/>
      <c r="F688" s="150"/>
      <c r="G688" s="151"/>
      <c r="H688" s="150"/>
    </row>
    <row r="689">
      <c r="B689" s="137"/>
      <c r="C689" s="138"/>
      <c r="F689" s="150"/>
      <c r="G689" s="151"/>
      <c r="H689" s="150"/>
    </row>
    <row r="690">
      <c r="B690" s="137"/>
      <c r="C690" s="138"/>
      <c r="F690" s="150"/>
      <c r="G690" s="151"/>
      <c r="H690" s="150"/>
    </row>
    <row r="691">
      <c r="B691" s="137"/>
      <c r="C691" s="138"/>
      <c r="F691" s="150"/>
      <c r="G691" s="151"/>
      <c r="H691" s="150"/>
    </row>
    <row r="692">
      <c r="B692" s="137"/>
      <c r="C692" s="138"/>
      <c r="F692" s="150"/>
      <c r="G692" s="151"/>
      <c r="H692" s="150"/>
    </row>
    <row r="693">
      <c r="B693" s="137"/>
      <c r="C693" s="138"/>
      <c r="F693" s="150"/>
      <c r="G693" s="151"/>
      <c r="H693" s="150"/>
    </row>
    <row r="694">
      <c r="B694" s="137"/>
      <c r="C694" s="138"/>
      <c r="F694" s="150"/>
      <c r="G694" s="151"/>
      <c r="H694" s="150"/>
    </row>
    <row r="695">
      <c r="B695" s="137"/>
      <c r="C695" s="138"/>
      <c r="F695" s="150"/>
      <c r="G695" s="151"/>
      <c r="H695" s="150"/>
    </row>
    <row r="696">
      <c r="B696" s="137"/>
      <c r="C696" s="138"/>
      <c r="F696" s="150"/>
      <c r="G696" s="151"/>
      <c r="H696" s="150"/>
    </row>
    <row r="697">
      <c r="B697" s="137"/>
      <c r="C697" s="138"/>
      <c r="F697" s="150"/>
      <c r="G697" s="151"/>
      <c r="H697" s="150"/>
    </row>
    <row r="698">
      <c r="B698" s="137"/>
      <c r="C698" s="138"/>
      <c r="F698" s="150"/>
      <c r="G698" s="151"/>
      <c r="H698" s="150"/>
    </row>
    <row r="699">
      <c r="B699" s="137"/>
      <c r="C699" s="138"/>
      <c r="F699" s="150"/>
      <c r="G699" s="151"/>
      <c r="H699" s="150"/>
    </row>
    <row r="700">
      <c r="B700" s="137"/>
      <c r="C700" s="138"/>
      <c r="F700" s="150"/>
      <c r="G700" s="151"/>
      <c r="H700" s="150"/>
    </row>
    <row r="701">
      <c r="B701" s="137"/>
      <c r="C701" s="138"/>
      <c r="F701" s="150"/>
      <c r="G701" s="151"/>
      <c r="H701" s="150"/>
    </row>
    <row r="702">
      <c r="B702" s="137"/>
      <c r="C702" s="138"/>
      <c r="F702" s="150"/>
      <c r="G702" s="151"/>
      <c r="H702" s="150"/>
    </row>
    <row r="703">
      <c r="B703" s="137"/>
      <c r="C703" s="138"/>
      <c r="F703" s="150"/>
      <c r="G703" s="151"/>
      <c r="H703" s="150"/>
    </row>
    <row r="704">
      <c r="B704" s="137"/>
      <c r="C704" s="138"/>
      <c r="F704" s="150"/>
      <c r="G704" s="151"/>
      <c r="H704" s="150"/>
    </row>
    <row r="705">
      <c r="B705" s="137"/>
      <c r="C705" s="138"/>
      <c r="F705" s="150"/>
      <c r="G705" s="151"/>
      <c r="H705" s="150"/>
    </row>
    <row r="706">
      <c r="B706" s="137"/>
      <c r="C706" s="138"/>
      <c r="F706" s="150"/>
      <c r="G706" s="151"/>
      <c r="H706" s="150"/>
    </row>
    <row r="707">
      <c r="B707" s="137"/>
      <c r="C707" s="138"/>
      <c r="F707" s="150"/>
      <c r="G707" s="151"/>
      <c r="H707" s="150"/>
    </row>
    <row r="708">
      <c r="B708" s="137"/>
      <c r="C708" s="138"/>
      <c r="F708" s="150"/>
      <c r="G708" s="151"/>
      <c r="H708" s="150"/>
    </row>
    <row r="709">
      <c r="B709" s="137"/>
      <c r="C709" s="138"/>
      <c r="F709" s="150"/>
      <c r="G709" s="151"/>
      <c r="H709" s="150"/>
    </row>
    <row r="710">
      <c r="B710" s="137"/>
      <c r="C710" s="138"/>
      <c r="F710" s="150"/>
      <c r="G710" s="151"/>
      <c r="H710" s="150"/>
    </row>
    <row r="711">
      <c r="B711" s="137"/>
      <c r="C711" s="138"/>
      <c r="F711" s="150"/>
      <c r="G711" s="151"/>
      <c r="H711" s="150"/>
    </row>
    <row r="712">
      <c r="B712" s="137"/>
      <c r="C712" s="138"/>
      <c r="F712" s="150"/>
      <c r="G712" s="151"/>
      <c r="H712" s="150"/>
    </row>
    <row r="713">
      <c r="B713" s="137"/>
      <c r="C713" s="138"/>
      <c r="F713" s="150"/>
      <c r="G713" s="151"/>
      <c r="H713" s="150"/>
    </row>
    <row r="714">
      <c r="B714" s="137"/>
      <c r="C714" s="138"/>
      <c r="F714" s="150"/>
      <c r="G714" s="151"/>
      <c r="H714" s="150"/>
    </row>
    <row r="715">
      <c r="B715" s="137"/>
      <c r="C715" s="138"/>
      <c r="F715" s="150"/>
      <c r="G715" s="151"/>
      <c r="H715" s="150"/>
    </row>
    <row r="716">
      <c r="B716" s="137"/>
      <c r="C716" s="138"/>
      <c r="F716" s="150"/>
      <c r="G716" s="151"/>
      <c r="H716" s="150"/>
    </row>
    <row r="717">
      <c r="B717" s="137"/>
      <c r="C717" s="138"/>
      <c r="F717" s="150"/>
      <c r="G717" s="151"/>
      <c r="H717" s="150"/>
    </row>
    <row r="718">
      <c r="B718" s="137"/>
      <c r="C718" s="138"/>
      <c r="F718" s="150"/>
      <c r="G718" s="151"/>
      <c r="H718" s="150"/>
    </row>
    <row r="719">
      <c r="B719" s="137"/>
      <c r="C719" s="138"/>
      <c r="F719" s="150"/>
      <c r="G719" s="151"/>
      <c r="H719" s="150"/>
    </row>
    <row r="720">
      <c r="B720" s="137"/>
      <c r="C720" s="138"/>
      <c r="F720" s="150"/>
      <c r="G720" s="151"/>
      <c r="H720" s="150"/>
    </row>
    <row r="721">
      <c r="B721" s="137"/>
      <c r="C721" s="138"/>
      <c r="F721" s="150"/>
      <c r="G721" s="151"/>
      <c r="H721" s="150"/>
    </row>
    <row r="722">
      <c r="B722" s="137"/>
      <c r="C722" s="138"/>
      <c r="F722" s="150"/>
      <c r="G722" s="151"/>
      <c r="H722" s="150"/>
    </row>
    <row r="723">
      <c r="B723" s="137"/>
      <c r="C723" s="138"/>
      <c r="F723" s="150"/>
      <c r="G723" s="151"/>
      <c r="H723" s="150"/>
    </row>
    <row r="724">
      <c r="B724" s="137"/>
      <c r="C724" s="138"/>
      <c r="F724" s="150"/>
      <c r="G724" s="151"/>
      <c r="H724" s="150"/>
    </row>
    <row r="725">
      <c r="B725" s="137"/>
      <c r="C725" s="138"/>
      <c r="F725" s="150"/>
      <c r="G725" s="151"/>
      <c r="H725" s="150"/>
    </row>
    <row r="726">
      <c r="B726" s="137"/>
      <c r="C726" s="138"/>
      <c r="F726" s="150"/>
      <c r="G726" s="151"/>
      <c r="H726" s="150"/>
    </row>
    <row r="727">
      <c r="B727" s="137"/>
      <c r="C727" s="138"/>
      <c r="F727" s="150"/>
      <c r="G727" s="151"/>
      <c r="H727" s="150"/>
    </row>
    <row r="728">
      <c r="B728" s="137"/>
      <c r="C728" s="138"/>
      <c r="F728" s="150"/>
      <c r="G728" s="151"/>
      <c r="H728" s="150"/>
    </row>
    <row r="729">
      <c r="B729" s="137"/>
      <c r="C729" s="138"/>
      <c r="F729" s="150"/>
      <c r="G729" s="151"/>
      <c r="H729" s="150"/>
    </row>
    <row r="730">
      <c r="B730" s="137"/>
      <c r="C730" s="138"/>
      <c r="F730" s="150"/>
      <c r="G730" s="151"/>
      <c r="H730" s="150"/>
    </row>
    <row r="731">
      <c r="B731" s="137"/>
      <c r="C731" s="138"/>
      <c r="F731" s="150"/>
      <c r="G731" s="151"/>
      <c r="H731" s="150"/>
    </row>
    <row r="732">
      <c r="B732" s="137"/>
      <c r="C732" s="138"/>
      <c r="F732" s="150"/>
      <c r="G732" s="151"/>
      <c r="H732" s="150"/>
    </row>
    <row r="733">
      <c r="B733" s="137"/>
      <c r="C733" s="138"/>
      <c r="F733" s="150"/>
      <c r="G733" s="151"/>
      <c r="H733" s="150"/>
    </row>
    <row r="734">
      <c r="B734" s="137"/>
      <c r="C734" s="138"/>
      <c r="F734" s="150"/>
      <c r="G734" s="151"/>
      <c r="H734" s="150"/>
    </row>
    <row r="735">
      <c r="B735" s="137"/>
      <c r="C735" s="138"/>
      <c r="F735" s="150"/>
      <c r="G735" s="151"/>
      <c r="H735" s="150"/>
    </row>
    <row r="736">
      <c r="B736" s="137"/>
      <c r="C736" s="138"/>
      <c r="F736" s="150"/>
      <c r="G736" s="151"/>
      <c r="H736" s="150"/>
    </row>
    <row r="737">
      <c r="B737" s="137"/>
      <c r="C737" s="138"/>
      <c r="F737" s="150"/>
      <c r="G737" s="151"/>
      <c r="H737" s="150"/>
    </row>
    <row r="738">
      <c r="B738" s="137"/>
      <c r="C738" s="138"/>
      <c r="F738" s="150"/>
      <c r="G738" s="151"/>
      <c r="H738" s="150"/>
    </row>
    <row r="739">
      <c r="B739" s="137"/>
      <c r="C739" s="138"/>
      <c r="F739" s="150"/>
      <c r="G739" s="151"/>
      <c r="H739" s="150"/>
    </row>
    <row r="740">
      <c r="B740" s="137"/>
      <c r="C740" s="138"/>
      <c r="F740" s="150"/>
      <c r="G740" s="151"/>
      <c r="H740" s="150"/>
    </row>
    <row r="741">
      <c r="B741" s="137"/>
      <c r="C741" s="138"/>
      <c r="F741" s="150"/>
      <c r="G741" s="151"/>
      <c r="H741" s="150"/>
    </row>
    <row r="742">
      <c r="B742" s="137"/>
      <c r="C742" s="138"/>
      <c r="F742" s="150"/>
      <c r="G742" s="151"/>
      <c r="H742" s="150"/>
    </row>
    <row r="743">
      <c r="B743" s="137"/>
      <c r="C743" s="138"/>
      <c r="F743" s="150"/>
      <c r="G743" s="151"/>
      <c r="H743" s="150"/>
    </row>
    <row r="744">
      <c r="B744" s="137"/>
      <c r="C744" s="138"/>
      <c r="F744" s="150"/>
      <c r="G744" s="151"/>
      <c r="H744" s="150"/>
    </row>
    <row r="745">
      <c r="B745" s="137"/>
      <c r="C745" s="138"/>
      <c r="F745" s="150"/>
      <c r="G745" s="151"/>
      <c r="H745" s="150"/>
    </row>
    <row r="746">
      <c r="B746" s="137"/>
      <c r="C746" s="138"/>
      <c r="F746" s="150"/>
      <c r="G746" s="151"/>
      <c r="H746" s="150"/>
    </row>
    <row r="747">
      <c r="B747" s="137"/>
      <c r="C747" s="138"/>
      <c r="F747" s="150"/>
      <c r="G747" s="151"/>
      <c r="H747" s="150"/>
    </row>
    <row r="748">
      <c r="B748" s="137"/>
      <c r="C748" s="138"/>
      <c r="F748" s="150"/>
      <c r="G748" s="151"/>
      <c r="H748" s="150"/>
    </row>
    <row r="749">
      <c r="B749" s="137"/>
      <c r="C749" s="138"/>
      <c r="F749" s="150"/>
      <c r="G749" s="151"/>
      <c r="H749" s="150"/>
    </row>
    <row r="750">
      <c r="B750" s="137"/>
      <c r="C750" s="138"/>
      <c r="F750" s="150"/>
      <c r="G750" s="151"/>
      <c r="H750" s="150"/>
    </row>
    <row r="751">
      <c r="B751" s="137"/>
      <c r="C751" s="138"/>
      <c r="F751" s="150"/>
      <c r="G751" s="151"/>
      <c r="H751" s="150"/>
    </row>
    <row r="752">
      <c r="B752" s="137"/>
      <c r="C752" s="138"/>
      <c r="F752" s="150"/>
      <c r="G752" s="151"/>
      <c r="H752" s="150"/>
    </row>
    <row r="753">
      <c r="B753" s="137"/>
      <c r="C753" s="138"/>
      <c r="F753" s="150"/>
      <c r="G753" s="151"/>
      <c r="H753" s="150"/>
    </row>
    <row r="754">
      <c r="B754" s="137"/>
      <c r="C754" s="138"/>
      <c r="F754" s="150"/>
      <c r="G754" s="151"/>
      <c r="H754" s="150"/>
    </row>
    <row r="755">
      <c r="B755" s="137"/>
      <c r="C755" s="138"/>
      <c r="F755" s="150"/>
      <c r="G755" s="151"/>
      <c r="H755" s="150"/>
    </row>
    <row r="756">
      <c r="B756" s="137"/>
      <c r="C756" s="138"/>
      <c r="F756" s="150"/>
      <c r="G756" s="151"/>
      <c r="H756" s="150"/>
    </row>
    <row r="757">
      <c r="B757" s="137"/>
      <c r="C757" s="138"/>
      <c r="F757" s="150"/>
      <c r="G757" s="151"/>
      <c r="H757" s="150"/>
    </row>
    <row r="758">
      <c r="B758" s="137"/>
      <c r="C758" s="138"/>
      <c r="F758" s="150"/>
      <c r="G758" s="151"/>
      <c r="H758" s="150"/>
    </row>
    <row r="759">
      <c r="B759" s="137"/>
      <c r="C759" s="138"/>
      <c r="F759" s="150"/>
      <c r="G759" s="151"/>
      <c r="H759" s="150"/>
    </row>
    <row r="760">
      <c r="B760" s="137"/>
      <c r="C760" s="138"/>
      <c r="F760" s="150"/>
      <c r="G760" s="151"/>
      <c r="H760" s="150"/>
    </row>
    <row r="761">
      <c r="B761" s="137"/>
      <c r="C761" s="138"/>
      <c r="F761" s="150"/>
      <c r="G761" s="151"/>
      <c r="H761" s="150"/>
    </row>
    <row r="762">
      <c r="B762" s="137"/>
      <c r="C762" s="138"/>
      <c r="F762" s="150"/>
      <c r="G762" s="151"/>
      <c r="H762" s="150"/>
    </row>
    <row r="763">
      <c r="B763" s="137"/>
      <c r="C763" s="138"/>
      <c r="F763" s="150"/>
      <c r="G763" s="151"/>
      <c r="H763" s="150"/>
    </row>
    <row r="764">
      <c r="B764" s="137"/>
      <c r="C764" s="138"/>
      <c r="F764" s="150"/>
      <c r="G764" s="151"/>
      <c r="H764" s="150"/>
    </row>
    <row r="765">
      <c r="B765" s="137"/>
      <c r="C765" s="138"/>
      <c r="F765" s="150"/>
      <c r="G765" s="151"/>
      <c r="H765" s="150"/>
    </row>
    <row r="766">
      <c r="B766" s="137"/>
      <c r="C766" s="138"/>
      <c r="F766" s="150"/>
      <c r="G766" s="151"/>
      <c r="H766" s="150"/>
    </row>
    <row r="767">
      <c r="B767" s="137"/>
      <c r="C767" s="138"/>
      <c r="F767" s="150"/>
      <c r="G767" s="151"/>
      <c r="H767" s="150"/>
    </row>
    <row r="768">
      <c r="B768" s="137"/>
      <c r="C768" s="138"/>
      <c r="F768" s="150"/>
      <c r="G768" s="151"/>
      <c r="H768" s="150"/>
    </row>
    <row r="769">
      <c r="B769" s="137"/>
      <c r="C769" s="138"/>
      <c r="F769" s="150"/>
      <c r="G769" s="151"/>
      <c r="H769" s="150"/>
    </row>
    <row r="770">
      <c r="B770" s="137"/>
      <c r="C770" s="138"/>
      <c r="F770" s="150"/>
      <c r="G770" s="151"/>
      <c r="H770" s="150"/>
    </row>
    <row r="771">
      <c r="B771" s="137"/>
      <c r="C771" s="138"/>
      <c r="F771" s="150"/>
      <c r="G771" s="151"/>
      <c r="H771" s="150"/>
    </row>
    <row r="772">
      <c r="B772" s="137"/>
      <c r="C772" s="138"/>
      <c r="F772" s="150"/>
      <c r="G772" s="151"/>
      <c r="H772" s="150"/>
    </row>
    <row r="773">
      <c r="B773" s="137"/>
      <c r="C773" s="138"/>
      <c r="F773" s="150"/>
      <c r="G773" s="151"/>
      <c r="H773" s="150"/>
    </row>
    <row r="774">
      <c r="B774" s="137"/>
      <c r="C774" s="138"/>
      <c r="F774" s="150"/>
      <c r="G774" s="151"/>
      <c r="H774" s="150"/>
    </row>
    <row r="775">
      <c r="B775" s="137"/>
      <c r="C775" s="138"/>
      <c r="F775" s="150"/>
      <c r="G775" s="151"/>
      <c r="H775" s="150"/>
    </row>
    <row r="776">
      <c r="B776" s="137"/>
      <c r="C776" s="138"/>
      <c r="F776" s="150"/>
      <c r="G776" s="151"/>
      <c r="H776" s="150"/>
    </row>
    <row r="777">
      <c r="B777" s="137"/>
      <c r="C777" s="138"/>
      <c r="F777" s="150"/>
      <c r="G777" s="151"/>
      <c r="H777" s="150"/>
    </row>
    <row r="778">
      <c r="B778" s="137"/>
      <c r="C778" s="138"/>
      <c r="F778" s="150"/>
      <c r="G778" s="151"/>
      <c r="H778" s="150"/>
    </row>
    <row r="779">
      <c r="B779" s="137"/>
      <c r="C779" s="138"/>
      <c r="F779" s="150"/>
      <c r="G779" s="151"/>
      <c r="H779" s="150"/>
    </row>
    <row r="780">
      <c r="B780" s="137"/>
      <c r="C780" s="138"/>
      <c r="F780" s="150"/>
      <c r="G780" s="151"/>
      <c r="H780" s="150"/>
    </row>
    <row r="781">
      <c r="B781" s="137"/>
      <c r="C781" s="138"/>
      <c r="F781" s="150"/>
      <c r="G781" s="151"/>
      <c r="H781" s="150"/>
    </row>
    <row r="782">
      <c r="B782" s="137"/>
      <c r="C782" s="138"/>
      <c r="F782" s="150"/>
      <c r="G782" s="151"/>
      <c r="H782" s="150"/>
    </row>
    <row r="783">
      <c r="B783" s="137"/>
      <c r="C783" s="138"/>
      <c r="F783" s="150"/>
      <c r="G783" s="151"/>
      <c r="H783" s="150"/>
    </row>
    <row r="784">
      <c r="B784" s="137"/>
      <c r="C784" s="138"/>
      <c r="F784" s="150"/>
      <c r="G784" s="151"/>
      <c r="H784" s="150"/>
    </row>
    <row r="785">
      <c r="B785" s="137"/>
      <c r="C785" s="138"/>
      <c r="F785" s="150"/>
      <c r="G785" s="151"/>
      <c r="H785" s="150"/>
    </row>
    <row r="786">
      <c r="B786" s="137"/>
      <c r="C786" s="138"/>
      <c r="F786" s="150"/>
      <c r="G786" s="151"/>
      <c r="H786" s="150"/>
    </row>
    <row r="787">
      <c r="B787" s="137"/>
      <c r="C787" s="138"/>
      <c r="F787" s="150"/>
      <c r="G787" s="151"/>
      <c r="H787" s="150"/>
    </row>
    <row r="788">
      <c r="B788" s="137"/>
      <c r="C788" s="138"/>
      <c r="F788" s="150"/>
      <c r="G788" s="151"/>
      <c r="H788" s="150"/>
    </row>
    <row r="789">
      <c r="B789" s="137"/>
      <c r="C789" s="138"/>
      <c r="F789" s="150"/>
      <c r="G789" s="151"/>
      <c r="H789" s="150"/>
    </row>
    <row r="790">
      <c r="B790" s="137"/>
      <c r="C790" s="138"/>
      <c r="F790" s="150"/>
      <c r="G790" s="151"/>
      <c r="H790" s="150"/>
    </row>
    <row r="791">
      <c r="B791" s="137"/>
      <c r="C791" s="138"/>
      <c r="F791" s="150"/>
      <c r="G791" s="151"/>
      <c r="H791" s="150"/>
    </row>
    <row r="792">
      <c r="B792" s="137"/>
      <c r="C792" s="138"/>
      <c r="F792" s="150"/>
      <c r="G792" s="151"/>
      <c r="H792" s="150"/>
    </row>
    <row r="793">
      <c r="B793" s="137"/>
      <c r="C793" s="138"/>
      <c r="F793" s="150"/>
      <c r="G793" s="151"/>
      <c r="H793" s="150"/>
    </row>
    <row r="794">
      <c r="B794" s="137"/>
      <c r="C794" s="138"/>
      <c r="F794" s="150"/>
      <c r="G794" s="151"/>
      <c r="H794" s="150"/>
    </row>
    <row r="795">
      <c r="B795" s="137"/>
      <c r="C795" s="138"/>
      <c r="F795" s="150"/>
      <c r="G795" s="151"/>
      <c r="H795" s="150"/>
    </row>
    <row r="796">
      <c r="B796" s="137"/>
      <c r="C796" s="138"/>
      <c r="F796" s="150"/>
      <c r="G796" s="151"/>
      <c r="H796" s="150"/>
    </row>
    <row r="797">
      <c r="B797" s="137"/>
      <c r="C797" s="138"/>
      <c r="F797" s="150"/>
      <c r="G797" s="151"/>
      <c r="H797" s="150"/>
    </row>
    <row r="798">
      <c r="B798" s="137"/>
      <c r="C798" s="138"/>
      <c r="F798" s="150"/>
      <c r="G798" s="151"/>
      <c r="H798" s="150"/>
    </row>
    <row r="799">
      <c r="B799" s="137"/>
      <c r="C799" s="138"/>
      <c r="F799" s="150"/>
      <c r="G799" s="151"/>
      <c r="H799" s="150"/>
    </row>
    <row r="800">
      <c r="B800" s="137"/>
      <c r="C800" s="138"/>
      <c r="F800" s="150"/>
      <c r="G800" s="151"/>
      <c r="H800" s="150"/>
    </row>
    <row r="801">
      <c r="B801" s="137"/>
      <c r="C801" s="138"/>
      <c r="F801" s="150"/>
      <c r="G801" s="151"/>
      <c r="H801" s="150"/>
    </row>
    <row r="802">
      <c r="B802" s="137"/>
      <c r="C802" s="138"/>
      <c r="F802" s="150"/>
      <c r="G802" s="151"/>
      <c r="H802" s="150"/>
    </row>
    <row r="803">
      <c r="B803" s="137"/>
      <c r="C803" s="138"/>
      <c r="F803" s="150"/>
      <c r="G803" s="151"/>
      <c r="H803" s="150"/>
    </row>
    <row r="804">
      <c r="B804" s="137"/>
      <c r="C804" s="138"/>
      <c r="F804" s="150"/>
      <c r="G804" s="151"/>
      <c r="H804" s="150"/>
    </row>
    <row r="805">
      <c r="B805" s="137"/>
      <c r="C805" s="138"/>
      <c r="F805" s="150"/>
      <c r="G805" s="151"/>
      <c r="H805" s="150"/>
    </row>
    <row r="806">
      <c r="B806" s="137"/>
      <c r="C806" s="138"/>
      <c r="F806" s="150"/>
      <c r="G806" s="151"/>
      <c r="H806" s="150"/>
    </row>
    <row r="807">
      <c r="B807" s="137"/>
      <c r="C807" s="138"/>
      <c r="F807" s="150"/>
      <c r="G807" s="151"/>
      <c r="H807" s="150"/>
    </row>
    <row r="808">
      <c r="B808" s="137"/>
      <c r="C808" s="138"/>
      <c r="F808" s="150"/>
      <c r="G808" s="151"/>
      <c r="H808" s="150"/>
    </row>
    <row r="809">
      <c r="B809" s="137"/>
      <c r="C809" s="138"/>
      <c r="F809" s="150"/>
      <c r="G809" s="151"/>
      <c r="H809" s="150"/>
    </row>
    <row r="810">
      <c r="B810" s="137"/>
      <c r="C810" s="138"/>
      <c r="F810" s="150"/>
      <c r="G810" s="151"/>
      <c r="H810" s="150"/>
    </row>
    <row r="811">
      <c r="B811" s="137"/>
      <c r="C811" s="138"/>
      <c r="F811" s="150"/>
      <c r="G811" s="151"/>
      <c r="H811" s="150"/>
    </row>
    <row r="812">
      <c r="B812" s="137"/>
      <c r="C812" s="138"/>
      <c r="F812" s="150"/>
      <c r="G812" s="151"/>
      <c r="H812" s="150"/>
    </row>
    <row r="813">
      <c r="B813" s="137"/>
      <c r="C813" s="138"/>
      <c r="F813" s="150"/>
      <c r="G813" s="151"/>
      <c r="H813" s="150"/>
    </row>
    <row r="814">
      <c r="B814" s="137"/>
      <c r="C814" s="138"/>
      <c r="F814" s="150"/>
      <c r="G814" s="151"/>
      <c r="H814" s="150"/>
    </row>
    <row r="815">
      <c r="B815" s="137"/>
      <c r="C815" s="138"/>
      <c r="F815" s="150"/>
      <c r="G815" s="151"/>
      <c r="H815" s="150"/>
    </row>
    <row r="816">
      <c r="B816" s="137"/>
      <c r="C816" s="138"/>
      <c r="F816" s="150"/>
      <c r="G816" s="151"/>
      <c r="H816" s="150"/>
    </row>
    <row r="817">
      <c r="B817" s="137"/>
      <c r="C817" s="138"/>
      <c r="F817" s="150"/>
      <c r="G817" s="151"/>
      <c r="H817" s="150"/>
    </row>
    <row r="818">
      <c r="B818" s="137"/>
      <c r="C818" s="138"/>
      <c r="F818" s="150"/>
      <c r="G818" s="151"/>
      <c r="H818" s="150"/>
    </row>
    <row r="819">
      <c r="B819" s="137"/>
      <c r="C819" s="138"/>
      <c r="F819" s="150"/>
      <c r="G819" s="151"/>
      <c r="H819" s="150"/>
    </row>
    <row r="820">
      <c r="B820" s="137"/>
      <c r="C820" s="138"/>
      <c r="F820" s="150"/>
      <c r="G820" s="151"/>
      <c r="H820" s="150"/>
    </row>
    <row r="821">
      <c r="B821" s="137"/>
      <c r="C821" s="138"/>
      <c r="F821" s="150"/>
      <c r="G821" s="151"/>
      <c r="H821" s="150"/>
    </row>
    <row r="822">
      <c r="B822" s="137"/>
      <c r="C822" s="138"/>
      <c r="F822" s="150"/>
      <c r="G822" s="151"/>
      <c r="H822" s="150"/>
    </row>
    <row r="823">
      <c r="B823" s="137"/>
      <c r="C823" s="138"/>
      <c r="F823" s="150"/>
      <c r="G823" s="151"/>
      <c r="H823" s="150"/>
    </row>
    <row r="824">
      <c r="B824" s="137"/>
      <c r="C824" s="138"/>
      <c r="F824" s="150"/>
      <c r="G824" s="151"/>
      <c r="H824" s="150"/>
    </row>
    <row r="825">
      <c r="B825" s="137"/>
      <c r="C825" s="138"/>
      <c r="F825" s="150"/>
      <c r="G825" s="151"/>
      <c r="H825" s="150"/>
    </row>
    <row r="826">
      <c r="B826" s="137"/>
      <c r="C826" s="138"/>
      <c r="F826" s="150"/>
      <c r="G826" s="151"/>
      <c r="H826" s="150"/>
    </row>
    <row r="827">
      <c r="B827" s="137"/>
      <c r="C827" s="138"/>
      <c r="F827" s="150"/>
      <c r="G827" s="151"/>
      <c r="H827" s="150"/>
    </row>
    <row r="828">
      <c r="B828" s="137"/>
      <c r="C828" s="138"/>
      <c r="F828" s="150"/>
      <c r="G828" s="151"/>
      <c r="H828" s="150"/>
    </row>
    <row r="829">
      <c r="B829" s="137"/>
      <c r="C829" s="138"/>
      <c r="F829" s="150"/>
      <c r="G829" s="151"/>
      <c r="H829" s="150"/>
    </row>
    <row r="830">
      <c r="B830" s="137"/>
      <c r="C830" s="138"/>
      <c r="F830" s="150"/>
      <c r="G830" s="151"/>
      <c r="H830" s="150"/>
    </row>
    <row r="831">
      <c r="B831" s="137"/>
      <c r="C831" s="138"/>
      <c r="F831" s="150"/>
      <c r="G831" s="151"/>
      <c r="H831" s="150"/>
    </row>
    <row r="832">
      <c r="B832" s="137"/>
      <c r="C832" s="138"/>
      <c r="F832" s="150"/>
      <c r="G832" s="151"/>
      <c r="H832" s="150"/>
    </row>
    <row r="833">
      <c r="B833" s="137"/>
      <c r="C833" s="138"/>
      <c r="F833" s="150"/>
      <c r="G833" s="151"/>
      <c r="H833" s="150"/>
    </row>
    <row r="834">
      <c r="B834" s="137"/>
      <c r="C834" s="138"/>
      <c r="F834" s="150"/>
      <c r="G834" s="151"/>
      <c r="H834" s="150"/>
    </row>
    <row r="835">
      <c r="B835" s="137"/>
      <c r="C835" s="138"/>
      <c r="F835" s="150"/>
      <c r="G835" s="151"/>
      <c r="H835" s="150"/>
    </row>
    <row r="836">
      <c r="B836" s="137"/>
      <c r="C836" s="138"/>
      <c r="F836" s="150"/>
      <c r="G836" s="151"/>
      <c r="H836" s="150"/>
    </row>
    <row r="837">
      <c r="B837" s="137"/>
      <c r="C837" s="138"/>
      <c r="F837" s="150"/>
      <c r="G837" s="151"/>
      <c r="H837" s="150"/>
    </row>
    <row r="838">
      <c r="B838" s="137"/>
      <c r="C838" s="138"/>
      <c r="F838" s="150"/>
      <c r="G838" s="151"/>
      <c r="H838" s="150"/>
    </row>
    <row r="839">
      <c r="B839" s="137"/>
      <c r="C839" s="138"/>
      <c r="F839" s="150"/>
      <c r="G839" s="151"/>
      <c r="H839" s="150"/>
    </row>
    <row r="840">
      <c r="B840" s="137"/>
      <c r="C840" s="138"/>
      <c r="F840" s="150"/>
      <c r="G840" s="151"/>
      <c r="H840" s="150"/>
    </row>
    <row r="841">
      <c r="B841" s="137"/>
      <c r="C841" s="138"/>
      <c r="F841" s="150"/>
      <c r="G841" s="151"/>
      <c r="H841" s="150"/>
    </row>
    <row r="842">
      <c r="B842" s="137"/>
      <c r="C842" s="138"/>
      <c r="F842" s="150"/>
      <c r="G842" s="151"/>
      <c r="H842" s="150"/>
    </row>
    <row r="843">
      <c r="B843" s="137"/>
      <c r="C843" s="138"/>
      <c r="F843" s="150"/>
      <c r="G843" s="151"/>
      <c r="H843" s="150"/>
    </row>
    <row r="844">
      <c r="B844" s="137"/>
      <c r="C844" s="138"/>
      <c r="F844" s="150"/>
      <c r="G844" s="151"/>
      <c r="H844" s="150"/>
    </row>
    <row r="845">
      <c r="B845" s="137"/>
      <c r="C845" s="138"/>
      <c r="F845" s="150"/>
      <c r="G845" s="151"/>
      <c r="H845" s="150"/>
    </row>
    <row r="846">
      <c r="B846" s="137"/>
      <c r="C846" s="138"/>
      <c r="F846" s="150"/>
      <c r="G846" s="151"/>
      <c r="H846" s="150"/>
    </row>
    <row r="847">
      <c r="B847" s="137"/>
      <c r="C847" s="138"/>
      <c r="F847" s="150"/>
      <c r="G847" s="151"/>
      <c r="H847" s="150"/>
    </row>
    <row r="848">
      <c r="B848" s="137"/>
      <c r="C848" s="138"/>
      <c r="F848" s="150"/>
      <c r="G848" s="151"/>
      <c r="H848" s="150"/>
    </row>
    <row r="849">
      <c r="B849" s="137"/>
      <c r="C849" s="138"/>
      <c r="F849" s="150"/>
      <c r="G849" s="151"/>
      <c r="H849" s="150"/>
    </row>
    <row r="850">
      <c r="B850" s="137"/>
      <c r="C850" s="138"/>
      <c r="F850" s="150"/>
      <c r="G850" s="151"/>
      <c r="H850" s="150"/>
    </row>
    <row r="851">
      <c r="B851" s="137"/>
      <c r="C851" s="138"/>
      <c r="F851" s="150"/>
      <c r="G851" s="151"/>
      <c r="H851" s="150"/>
    </row>
    <row r="852">
      <c r="B852" s="137"/>
      <c r="C852" s="138"/>
      <c r="F852" s="150"/>
      <c r="G852" s="151"/>
      <c r="H852" s="150"/>
    </row>
    <row r="853">
      <c r="B853" s="137"/>
      <c r="C853" s="138"/>
      <c r="F853" s="150"/>
      <c r="G853" s="151"/>
      <c r="H853" s="150"/>
    </row>
    <row r="854">
      <c r="B854" s="137"/>
      <c r="C854" s="138"/>
      <c r="F854" s="150"/>
      <c r="G854" s="151"/>
      <c r="H854" s="150"/>
    </row>
    <row r="855">
      <c r="B855" s="137"/>
      <c r="C855" s="138"/>
      <c r="F855" s="150"/>
      <c r="G855" s="151"/>
      <c r="H855" s="150"/>
    </row>
    <row r="856">
      <c r="B856" s="137"/>
      <c r="C856" s="138"/>
      <c r="F856" s="150"/>
      <c r="G856" s="151"/>
      <c r="H856" s="150"/>
    </row>
    <row r="857">
      <c r="B857" s="137"/>
      <c r="C857" s="138"/>
      <c r="F857" s="150"/>
      <c r="G857" s="151"/>
      <c r="H857" s="150"/>
    </row>
    <row r="858">
      <c r="B858" s="137"/>
      <c r="C858" s="138"/>
      <c r="F858" s="150"/>
      <c r="G858" s="151"/>
      <c r="H858" s="150"/>
    </row>
    <row r="859">
      <c r="B859" s="137"/>
      <c r="C859" s="138"/>
      <c r="F859" s="150"/>
      <c r="G859" s="151"/>
      <c r="H859" s="150"/>
    </row>
    <row r="860">
      <c r="B860" s="137"/>
      <c r="C860" s="138"/>
      <c r="F860" s="150"/>
      <c r="G860" s="151"/>
      <c r="H860" s="150"/>
    </row>
    <row r="861">
      <c r="B861" s="137"/>
      <c r="C861" s="138"/>
      <c r="F861" s="150"/>
      <c r="G861" s="151"/>
      <c r="H861" s="150"/>
    </row>
    <row r="862">
      <c r="B862" s="137"/>
      <c r="C862" s="138"/>
      <c r="F862" s="150"/>
      <c r="G862" s="151"/>
      <c r="H862" s="150"/>
    </row>
    <row r="863">
      <c r="B863" s="137"/>
      <c r="C863" s="138"/>
      <c r="F863" s="150"/>
      <c r="G863" s="151"/>
      <c r="H863" s="150"/>
    </row>
    <row r="864">
      <c r="B864" s="137"/>
      <c r="C864" s="138"/>
      <c r="F864" s="150"/>
      <c r="G864" s="151"/>
      <c r="H864" s="150"/>
    </row>
    <row r="865">
      <c r="B865" s="137"/>
      <c r="C865" s="138"/>
      <c r="F865" s="150"/>
      <c r="G865" s="151"/>
      <c r="H865" s="150"/>
    </row>
    <row r="866">
      <c r="B866" s="137"/>
      <c r="C866" s="138"/>
      <c r="F866" s="150"/>
      <c r="G866" s="151"/>
      <c r="H866" s="150"/>
    </row>
    <row r="867">
      <c r="B867" s="137"/>
      <c r="C867" s="138"/>
      <c r="F867" s="150"/>
      <c r="G867" s="151"/>
      <c r="H867" s="150"/>
    </row>
    <row r="868">
      <c r="B868" s="137"/>
      <c r="C868" s="138"/>
      <c r="F868" s="150"/>
      <c r="G868" s="151"/>
      <c r="H868" s="150"/>
    </row>
    <row r="869">
      <c r="B869" s="137"/>
      <c r="C869" s="138"/>
      <c r="F869" s="150"/>
      <c r="G869" s="151"/>
      <c r="H869" s="150"/>
    </row>
    <row r="870">
      <c r="B870" s="137"/>
      <c r="C870" s="138"/>
      <c r="F870" s="150"/>
      <c r="G870" s="151"/>
      <c r="H870" s="150"/>
    </row>
    <row r="871">
      <c r="B871" s="137"/>
      <c r="C871" s="138"/>
      <c r="F871" s="150"/>
      <c r="G871" s="151"/>
      <c r="H871" s="150"/>
    </row>
    <row r="872">
      <c r="B872" s="137"/>
      <c r="C872" s="138"/>
      <c r="F872" s="150"/>
      <c r="G872" s="151"/>
      <c r="H872" s="150"/>
    </row>
    <row r="873">
      <c r="B873" s="137"/>
      <c r="C873" s="138"/>
      <c r="F873" s="150"/>
      <c r="G873" s="151"/>
      <c r="H873" s="150"/>
    </row>
    <row r="874">
      <c r="B874" s="137"/>
      <c r="C874" s="138"/>
      <c r="F874" s="150"/>
      <c r="G874" s="151"/>
      <c r="H874" s="150"/>
    </row>
    <row r="875">
      <c r="B875" s="137"/>
      <c r="C875" s="138"/>
      <c r="F875" s="150"/>
      <c r="G875" s="151"/>
      <c r="H875" s="150"/>
    </row>
    <row r="876">
      <c r="B876" s="137"/>
      <c r="C876" s="138"/>
      <c r="F876" s="150"/>
      <c r="G876" s="151"/>
      <c r="H876" s="150"/>
    </row>
    <row r="877">
      <c r="B877" s="137"/>
      <c r="C877" s="138"/>
      <c r="F877" s="150"/>
      <c r="G877" s="151"/>
      <c r="H877" s="150"/>
    </row>
    <row r="878">
      <c r="B878" s="137"/>
      <c r="C878" s="138"/>
      <c r="F878" s="150"/>
      <c r="G878" s="151"/>
      <c r="H878" s="150"/>
    </row>
    <row r="879">
      <c r="B879" s="137"/>
      <c r="C879" s="138"/>
      <c r="F879" s="150"/>
      <c r="G879" s="151"/>
      <c r="H879" s="150"/>
    </row>
    <row r="880">
      <c r="B880" s="137"/>
      <c r="C880" s="138"/>
      <c r="F880" s="150"/>
      <c r="G880" s="151"/>
      <c r="H880" s="150"/>
    </row>
    <row r="881">
      <c r="B881" s="137"/>
      <c r="C881" s="138"/>
      <c r="F881" s="150"/>
      <c r="G881" s="151"/>
      <c r="H881" s="150"/>
    </row>
    <row r="882">
      <c r="B882" s="137"/>
      <c r="C882" s="138"/>
      <c r="F882" s="150"/>
      <c r="G882" s="151"/>
      <c r="H882" s="150"/>
    </row>
    <row r="883">
      <c r="B883" s="137"/>
      <c r="C883" s="138"/>
      <c r="F883" s="150"/>
      <c r="G883" s="151"/>
      <c r="H883" s="150"/>
    </row>
    <row r="884">
      <c r="B884" s="137"/>
      <c r="C884" s="138"/>
      <c r="F884" s="150"/>
      <c r="G884" s="151"/>
      <c r="H884" s="150"/>
    </row>
    <row r="885">
      <c r="B885" s="137"/>
      <c r="C885" s="138"/>
      <c r="F885" s="150"/>
      <c r="G885" s="151"/>
      <c r="H885" s="150"/>
    </row>
    <row r="886">
      <c r="B886" s="137"/>
      <c r="C886" s="138"/>
      <c r="F886" s="150"/>
      <c r="G886" s="151"/>
      <c r="H886" s="150"/>
    </row>
    <row r="887">
      <c r="B887" s="137"/>
      <c r="C887" s="138"/>
      <c r="F887" s="150"/>
      <c r="G887" s="151"/>
      <c r="H887" s="150"/>
    </row>
    <row r="888">
      <c r="B888" s="137"/>
      <c r="C888" s="138"/>
      <c r="F888" s="150"/>
      <c r="G888" s="151"/>
      <c r="H888" s="150"/>
    </row>
    <row r="889">
      <c r="B889" s="137"/>
      <c r="C889" s="138"/>
      <c r="F889" s="150"/>
      <c r="G889" s="151"/>
      <c r="H889" s="150"/>
    </row>
    <row r="890">
      <c r="B890" s="137"/>
      <c r="C890" s="138"/>
      <c r="F890" s="150"/>
      <c r="G890" s="151"/>
      <c r="H890" s="150"/>
    </row>
    <row r="891">
      <c r="B891" s="137"/>
      <c r="C891" s="138"/>
      <c r="F891" s="150"/>
      <c r="G891" s="151"/>
      <c r="H891" s="150"/>
    </row>
    <row r="892">
      <c r="B892" s="137"/>
      <c r="C892" s="138"/>
      <c r="F892" s="150"/>
      <c r="G892" s="151"/>
      <c r="H892" s="150"/>
    </row>
    <row r="893">
      <c r="B893" s="137"/>
      <c r="C893" s="138"/>
      <c r="F893" s="150"/>
      <c r="G893" s="151"/>
      <c r="H893" s="150"/>
    </row>
    <row r="894">
      <c r="B894" s="137"/>
      <c r="C894" s="138"/>
      <c r="F894" s="150"/>
      <c r="G894" s="151"/>
      <c r="H894" s="150"/>
    </row>
    <row r="895">
      <c r="B895" s="137"/>
      <c r="C895" s="138"/>
      <c r="F895" s="150"/>
      <c r="G895" s="151"/>
      <c r="H895" s="150"/>
    </row>
    <row r="896">
      <c r="B896" s="137"/>
      <c r="C896" s="138"/>
      <c r="F896" s="150"/>
      <c r="G896" s="151"/>
      <c r="H896" s="150"/>
    </row>
    <row r="897">
      <c r="B897" s="137"/>
      <c r="C897" s="138"/>
      <c r="F897" s="150"/>
      <c r="G897" s="151"/>
      <c r="H897" s="150"/>
    </row>
    <row r="898">
      <c r="B898" s="137"/>
      <c r="C898" s="138"/>
      <c r="F898" s="150"/>
      <c r="G898" s="151"/>
      <c r="H898" s="150"/>
    </row>
    <row r="899">
      <c r="B899" s="137"/>
      <c r="C899" s="138"/>
      <c r="F899" s="150"/>
      <c r="G899" s="151"/>
      <c r="H899" s="150"/>
    </row>
    <row r="900">
      <c r="B900" s="137"/>
      <c r="C900" s="138"/>
      <c r="F900" s="150"/>
      <c r="G900" s="151"/>
      <c r="H900" s="150"/>
    </row>
    <row r="901">
      <c r="B901" s="137"/>
      <c r="C901" s="138"/>
      <c r="F901" s="150"/>
      <c r="G901" s="151"/>
      <c r="H901" s="150"/>
    </row>
    <row r="902">
      <c r="B902" s="137"/>
      <c r="C902" s="138"/>
      <c r="F902" s="150"/>
      <c r="G902" s="151"/>
      <c r="H902" s="150"/>
    </row>
    <row r="903">
      <c r="B903" s="137"/>
      <c r="C903" s="138"/>
      <c r="F903" s="150"/>
      <c r="G903" s="151"/>
      <c r="H903" s="150"/>
    </row>
    <row r="904">
      <c r="B904" s="137"/>
      <c r="C904" s="138"/>
      <c r="F904" s="150"/>
      <c r="G904" s="151"/>
      <c r="H904" s="150"/>
    </row>
    <row r="905">
      <c r="B905" s="137"/>
      <c r="C905" s="138"/>
      <c r="F905" s="150"/>
      <c r="G905" s="151"/>
      <c r="H905" s="150"/>
    </row>
    <row r="906">
      <c r="B906" s="137"/>
      <c r="C906" s="138"/>
      <c r="F906" s="150"/>
      <c r="G906" s="151"/>
      <c r="H906" s="150"/>
    </row>
    <row r="907">
      <c r="B907" s="137"/>
      <c r="C907" s="138"/>
      <c r="F907" s="150"/>
      <c r="G907" s="151"/>
      <c r="H907" s="150"/>
    </row>
    <row r="908">
      <c r="B908" s="137"/>
      <c r="C908" s="138"/>
      <c r="F908" s="150"/>
      <c r="G908" s="151"/>
      <c r="H908" s="150"/>
    </row>
    <row r="909">
      <c r="B909" s="137"/>
      <c r="C909" s="138"/>
      <c r="F909" s="150"/>
      <c r="G909" s="151"/>
      <c r="H909" s="150"/>
    </row>
    <row r="910">
      <c r="B910" s="137"/>
      <c r="C910" s="138"/>
      <c r="F910" s="150"/>
      <c r="G910" s="151"/>
      <c r="H910" s="150"/>
    </row>
    <row r="911">
      <c r="B911" s="137"/>
      <c r="C911" s="138"/>
      <c r="F911" s="150"/>
      <c r="G911" s="151"/>
      <c r="H911" s="150"/>
    </row>
    <row r="912">
      <c r="B912" s="137"/>
      <c r="C912" s="138"/>
      <c r="F912" s="150"/>
      <c r="G912" s="151"/>
      <c r="H912" s="150"/>
    </row>
    <row r="913">
      <c r="B913" s="137"/>
      <c r="C913" s="138"/>
      <c r="F913" s="150"/>
      <c r="G913" s="151"/>
      <c r="H913" s="150"/>
    </row>
    <row r="914">
      <c r="B914" s="137"/>
      <c r="C914" s="138"/>
      <c r="F914" s="150"/>
      <c r="G914" s="151"/>
      <c r="H914" s="150"/>
    </row>
    <row r="915">
      <c r="B915" s="137"/>
      <c r="C915" s="138"/>
      <c r="F915" s="150"/>
      <c r="G915" s="151"/>
      <c r="H915" s="150"/>
    </row>
    <row r="916">
      <c r="B916" s="137"/>
      <c r="C916" s="138"/>
      <c r="F916" s="150"/>
      <c r="G916" s="151"/>
      <c r="H916" s="150"/>
    </row>
    <row r="917">
      <c r="B917" s="137"/>
      <c r="C917" s="138"/>
      <c r="F917" s="150"/>
      <c r="G917" s="151"/>
      <c r="H917" s="150"/>
    </row>
    <row r="918">
      <c r="B918" s="137"/>
      <c r="C918" s="138"/>
      <c r="F918" s="150"/>
      <c r="G918" s="151"/>
      <c r="H918" s="150"/>
    </row>
    <row r="919">
      <c r="B919" s="137"/>
      <c r="C919" s="138"/>
      <c r="F919" s="150"/>
      <c r="G919" s="151"/>
      <c r="H919" s="150"/>
    </row>
    <row r="920">
      <c r="B920" s="137"/>
      <c r="C920" s="138"/>
      <c r="F920" s="150"/>
      <c r="G920" s="151"/>
      <c r="H920" s="150"/>
    </row>
    <row r="921">
      <c r="B921" s="137"/>
      <c r="C921" s="138"/>
      <c r="F921" s="150"/>
      <c r="G921" s="151"/>
      <c r="H921" s="150"/>
    </row>
    <row r="922">
      <c r="B922" s="137"/>
      <c r="C922" s="138"/>
      <c r="F922" s="150"/>
      <c r="G922" s="151"/>
      <c r="H922" s="150"/>
    </row>
    <row r="923">
      <c r="B923" s="137"/>
      <c r="C923" s="138"/>
      <c r="F923" s="150"/>
      <c r="G923" s="151"/>
      <c r="H923" s="150"/>
    </row>
    <row r="924">
      <c r="B924" s="137"/>
      <c r="C924" s="138"/>
      <c r="F924" s="150"/>
      <c r="G924" s="151"/>
      <c r="H924" s="150"/>
    </row>
    <row r="925">
      <c r="B925" s="137"/>
      <c r="C925" s="138"/>
      <c r="F925" s="150"/>
      <c r="G925" s="151"/>
      <c r="H925" s="150"/>
    </row>
    <row r="926">
      <c r="B926" s="137"/>
      <c r="C926" s="138"/>
      <c r="F926" s="150"/>
      <c r="G926" s="151"/>
      <c r="H926" s="150"/>
    </row>
    <row r="927">
      <c r="B927" s="137"/>
      <c r="C927" s="138"/>
      <c r="F927" s="150"/>
      <c r="G927" s="151"/>
      <c r="H927" s="150"/>
    </row>
    <row r="928">
      <c r="B928" s="137"/>
      <c r="C928" s="138"/>
      <c r="F928" s="150"/>
      <c r="G928" s="151"/>
      <c r="H928" s="150"/>
    </row>
    <row r="929">
      <c r="B929" s="137"/>
      <c r="C929" s="138"/>
      <c r="F929" s="150"/>
      <c r="G929" s="151"/>
      <c r="H929" s="150"/>
    </row>
    <row r="930">
      <c r="B930" s="137"/>
      <c r="C930" s="138"/>
      <c r="F930" s="150"/>
      <c r="G930" s="151"/>
      <c r="H930" s="150"/>
    </row>
    <row r="931">
      <c r="B931" s="137"/>
      <c r="C931" s="138"/>
      <c r="F931" s="150"/>
      <c r="G931" s="151"/>
      <c r="H931" s="150"/>
    </row>
    <row r="932">
      <c r="B932" s="137"/>
      <c r="C932" s="138"/>
      <c r="F932" s="150"/>
      <c r="G932" s="151"/>
      <c r="H932" s="150"/>
    </row>
    <row r="933">
      <c r="B933" s="137"/>
      <c r="C933" s="138"/>
      <c r="F933" s="150"/>
      <c r="G933" s="151"/>
      <c r="H933" s="150"/>
    </row>
    <row r="934">
      <c r="B934" s="137"/>
      <c r="C934" s="138"/>
      <c r="F934" s="150"/>
      <c r="G934" s="151"/>
      <c r="H934" s="150"/>
    </row>
    <row r="935">
      <c r="B935" s="137"/>
      <c r="C935" s="138"/>
      <c r="F935" s="150"/>
      <c r="G935" s="151"/>
      <c r="H935" s="150"/>
    </row>
    <row r="936">
      <c r="B936" s="137"/>
      <c r="C936" s="138"/>
      <c r="F936" s="150"/>
      <c r="G936" s="151"/>
      <c r="H936" s="150"/>
    </row>
    <row r="937">
      <c r="B937" s="137"/>
      <c r="C937" s="138"/>
      <c r="F937" s="150"/>
      <c r="G937" s="151"/>
      <c r="H937" s="150"/>
    </row>
    <row r="938">
      <c r="B938" s="137"/>
      <c r="C938" s="138"/>
      <c r="F938" s="150"/>
      <c r="G938" s="151"/>
      <c r="H938" s="150"/>
    </row>
    <row r="939">
      <c r="B939" s="137"/>
      <c r="C939" s="138"/>
      <c r="F939" s="150"/>
      <c r="G939" s="151"/>
      <c r="H939" s="150"/>
    </row>
    <row r="940">
      <c r="B940" s="137"/>
      <c r="C940" s="138"/>
      <c r="F940" s="150"/>
      <c r="G940" s="151"/>
      <c r="H940" s="150"/>
    </row>
    <row r="941">
      <c r="B941" s="137"/>
      <c r="C941" s="138"/>
      <c r="F941" s="150"/>
      <c r="G941" s="151"/>
      <c r="H941" s="150"/>
    </row>
    <row r="942">
      <c r="B942" s="137"/>
      <c r="C942" s="138"/>
      <c r="F942" s="150"/>
      <c r="G942" s="151"/>
      <c r="H942" s="150"/>
    </row>
    <row r="943">
      <c r="B943" s="137"/>
      <c r="C943" s="138"/>
      <c r="F943" s="150"/>
      <c r="G943" s="151"/>
      <c r="H943" s="150"/>
    </row>
    <row r="944">
      <c r="B944" s="137"/>
      <c r="C944" s="138"/>
      <c r="F944" s="150"/>
      <c r="G944" s="151"/>
      <c r="H944" s="150"/>
    </row>
    <row r="945">
      <c r="B945" s="137"/>
      <c r="C945" s="138"/>
      <c r="F945" s="150"/>
      <c r="G945" s="151"/>
      <c r="H945" s="150"/>
    </row>
    <row r="946">
      <c r="B946" s="137"/>
      <c r="C946" s="138"/>
      <c r="F946" s="150"/>
      <c r="G946" s="151"/>
      <c r="H946" s="150"/>
    </row>
    <row r="947">
      <c r="B947" s="137"/>
      <c r="C947" s="138"/>
      <c r="F947" s="150"/>
      <c r="G947" s="151"/>
      <c r="H947" s="150"/>
    </row>
    <row r="948">
      <c r="B948" s="137"/>
      <c r="C948" s="138"/>
      <c r="F948" s="150"/>
      <c r="G948" s="151"/>
      <c r="H948" s="150"/>
    </row>
    <row r="949">
      <c r="B949" s="137"/>
      <c r="C949" s="138"/>
      <c r="F949" s="150"/>
      <c r="G949" s="151"/>
      <c r="H949" s="150"/>
    </row>
    <row r="950">
      <c r="B950" s="137"/>
      <c r="C950" s="138"/>
      <c r="F950" s="150"/>
      <c r="G950" s="151"/>
      <c r="H950" s="150"/>
    </row>
    <row r="951">
      <c r="B951" s="137"/>
      <c r="C951" s="138"/>
      <c r="F951" s="150"/>
      <c r="G951" s="151"/>
      <c r="H951" s="150"/>
    </row>
    <row r="952">
      <c r="B952" s="137"/>
      <c r="C952" s="138"/>
      <c r="F952" s="150"/>
      <c r="G952" s="151"/>
      <c r="H952" s="150"/>
    </row>
  </sheetData>
  <autoFilter ref="$F$1:$H$37">
    <sortState ref="F1:H37">
      <sortCondition descending="1" ref="G1:G37"/>
    </sortState>
  </autoFilter>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3.22"/>
    <col customWidth="1" min="2" max="2" width="30.67"/>
    <col customWidth="1" min="3" max="3" width="18.33"/>
    <col customWidth="1" min="5" max="5" width="14.0"/>
    <col customWidth="1" min="6" max="6" width="31.0"/>
    <col customWidth="1" min="9" max="9" width="12.78"/>
    <col customWidth="1" min="10" max="10" width="30.22"/>
    <col customWidth="1" min="13" max="13" width="13.78"/>
    <col customWidth="1" min="14" max="14" width="14.22"/>
    <col customWidth="1" min="17" max="17" width="14.0"/>
    <col customWidth="1" min="21" max="21" width="13.67"/>
    <col customWidth="1" min="22" max="22" width="16.11"/>
    <col customWidth="1" min="25" max="25" width="14.33"/>
    <col customWidth="1" min="26" max="26" width="22.67"/>
    <col customWidth="1" min="29" max="33" width="13.78"/>
    <col customWidth="1" min="34" max="34" width="29.89"/>
  </cols>
  <sheetData>
    <row r="1">
      <c r="A1" s="174" t="s">
        <v>894</v>
      </c>
      <c r="C1" s="175" t="s">
        <v>895</v>
      </c>
      <c r="D1" s="82" t="s">
        <v>136</v>
      </c>
      <c r="E1" s="82" t="s">
        <v>896</v>
      </c>
      <c r="F1" s="82" t="s">
        <v>897</v>
      </c>
    </row>
    <row r="2">
      <c r="A2" s="33"/>
      <c r="C2" s="175">
        <f>D2+E2+F2</f>
        <v>80819.47</v>
      </c>
      <c r="D2" s="82">
        <f>46070+G9+G10+G12</f>
        <v>60819.47</v>
      </c>
      <c r="E2" s="82">
        <v>0.0</v>
      </c>
      <c r="F2" s="82">
        <v>20000.0</v>
      </c>
    </row>
    <row r="3">
      <c r="A3" s="33" t="s">
        <v>46</v>
      </c>
    </row>
    <row r="5">
      <c r="A5" s="176" t="s">
        <v>898</v>
      </c>
      <c r="B5" s="177"/>
      <c r="C5" s="21"/>
      <c r="E5" s="176" t="s">
        <v>899</v>
      </c>
      <c r="F5" s="177"/>
      <c r="G5" s="21"/>
      <c r="I5" s="176" t="s">
        <v>900</v>
      </c>
      <c r="J5" s="177"/>
      <c r="K5" s="21"/>
      <c r="M5" s="176" t="s">
        <v>0</v>
      </c>
      <c r="N5" s="177"/>
      <c r="O5" s="21"/>
      <c r="Q5" s="176" t="s">
        <v>1</v>
      </c>
      <c r="R5" s="177"/>
      <c r="S5" s="21"/>
      <c r="U5" s="176" t="s">
        <v>44</v>
      </c>
      <c r="V5" s="177"/>
      <c r="W5" s="21"/>
      <c r="Y5" s="176" t="s">
        <v>2</v>
      </c>
      <c r="Z5" s="177"/>
      <c r="AA5" s="21"/>
      <c r="AC5" s="176" t="s">
        <v>901</v>
      </c>
      <c r="AD5" s="177"/>
      <c r="AE5" s="21"/>
      <c r="AF5" s="178"/>
      <c r="AG5" s="176" t="s">
        <v>45</v>
      </c>
      <c r="AH5" s="177"/>
      <c r="AI5" s="21"/>
      <c r="AJ5" s="178"/>
    </row>
    <row r="6">
      <c r="A6" s="117" t="s">
        <v>99</v>
      </c>
      <c r="B6" s="117" t="s">
        <v>855</v>
      </c>
      <c r="C6" s="117" t="s">
        <v>4</v>
      </c>
      <c r="E6" s="117" t="s">
        <v>99</v>
      </c>
      <c r="F6" s="117" t="s">
        <v>855</v>
      </c>
      <c r="G6" s="117" t="s">
        <v>4</v>
      </c>
      <c r="I6" s="117" t="s">
        <v>99</v>
      </c>
      <c r="J6" s="117" t="s">
        <v>855</v>
      </c>
      <c r="K6" s="117" t="s">
        <v>4</v>
      </c>
      <c r="M6" s="117" t="s">
        <v>99</v>
      </c>
      <c r="N6" s="117" t="s">
        <v>855</v>
      </c>
      <c r="O6" s="117" t="s">
        <v>4</v>
      </c>
      <c r="Q6" s="117" t="s">
        <v>99</v>
      </c>
      <c r="R6" s="117" t="s">
        <v>855</v>
      </c>
      <c r="S6" s="117" t="s">
        <v>4</v>
      </c>
      <c r="U6" s="117" t="s">
        <v>99</v>
      </c>
      <c r="V6" s="117" t="s">
        <v>855</v>
      </c>
      <c r="W6" s="117" t="s">
        <v>4</v>
      </c>
      <c r="Y6" s="117" t="s">
        <v>99</v>
      </c>
      <c r="Z6" s="117" t="s">
        <v>855</v>
      </c>
      <c r="AA6" s="117" t="s">
        <v>4</v>
      </c>
      <c r="AC6" s="117" t="s">
        <v>99</v>
      </c>
      <c r="AD6" s="117" t="s">
        <v>855</v>
      </c>
      <c r="AE6" s="117" t="s">
        <v>4</v>
      </c>
      <c r="AF6" s="179"/>
      <c r="AG6" s="117" t="s">
        <v>99</v>
      </c>
      <c r="AH6" s="117" t="s">
        <v>855</v>
      </c>
      <c r="AI6" s="117" t="s">
        <v>4</v>
      </c>
      <c r="AJ6" s="179"/>
    </row>
    <row r="7">
      <c r="A7" s="82" t="s">
        <v>902</v>
      </c>
      <c r="B7" s="116"/>
      <c r="C7" s="82">
        <v>60000.0</v>
      </c>
      <c r="E7" s="82" t="s">
        <v>902</v>
      </c>
      <c r="F7" s="116"/>
      <c r="G7" s="82">
        <v>87010.0</v>
      </c>
      <c r="I7" s="82" t="s">
        <v>902</v>
      </c>
      <c r="J7" s="116"/>
      <c r="K7" s="82">
        <v>2970.0</v>
      </c>
      <c r="M7" s="82" t="s">
        <v>902</v>
      </c>
      <c r="N7" s="82" t="s">
        <v>903</v>
      </c>
      <c r="O7" s="82">
        <v>-183315.0</v>
      </c>
      <c r="Q7" s="82" t="s">
        <v>902</v>
      </c>
      <c r="R7" s="116"/>
      <c r="S7" s="82">
        <v>0.0</v>
      </c>
      <c r="U7" s="82" t="s">
        <v>902</v>
      </c>
      <c r="V7" s="82" t="s">
        <v>903</v>
      </c>
      <c r="W7" s="82">
        <v>-44830.0</v>
      </c>
      <c r="Y7" s="82" t="s">
        <v>902</v>
      </c>
      <c r="Z7" s="82" t="s">
        <v>903</v>
      </c>
      <c r="AA7" s="82">
        <v>-34088.0</v>
      </c>
      <c r="AC7" s="82" t="s">
        <v>902</v>
      </c>
      <c r="AD7" s="116"/>
      <c r="AE7" s="116"/>
      <c r="AF7" s="33"/>
      <c r="AG7" s="82" t="s">
        <v>902</v>
      </c>
      <c r="AH7" s="82" t="s">
        <v>904</v>
      </c>
      <c r="AI7" s="82">
        <v>72817.0</v>
      </c>
      <c r="AJ7" s="33"/>
    </row>
    <row r="8">
      <c r="A8" s="180">
        <v>45525.0</v>
      </c>
      <c r="B8" s="82" t="s">
        <v>905</v>
      </c>
      <c r="C8" s="82">
        <v>63126.0</v>
      </c>
      <c r="E8" s="181">
        <v>45520.0</v>
      </c>
      <c r="F8" s="182" t="s">
        <v>906</v>
      </c>
      <c r="G8" s="82">
        <v>86634.0</v>
      </c>
      <c r="I8" s="180">
        <v>45533.0</v>
      </c>
      <c r="J8" s="82" t="s">
        <v>907</v>
      </c>
      <c r="K8" s="82">
        <v>5000.0</v>
      </c>
      <c r="M8" s="180">
        <v>45534.0</v>
      </c>
      <c r="N8" s="82" t="s">
        <v>908</v>
      </c>
      <c r="O8" s="82">
        <v>50000.0</v>
      </c>
      <c r="Q8" s="116"/>
      <c r="R8" s="116"/>
      <c r="S8" s="116"/>
      <c r="U8" s="116"/>
      <c r="V8" s="116"/>
      <c r="W8" s="116"/>
      <c r="Y8" s="180">
        <v>45534.0</v>
      </c>
      <c r="Z8" s="82" t="s">
        <v>909</v>
      </c>
      <c r="AA8" s="82">
        <v>25000.0</v>
      </c>
      <c r="AC8" s="180">
        <v>45534.0</v>
      </c>
      <c r="AD8" s="82" t="s">
        <v>896</v>
      </c>
      <c r="AE8" s="82">
        <v>26000.0</v>
      </c>
      <c r="AG8" s="116"/>
      <c r="AH8" s="82" t="s">
        <v>910</v>
      </c>
      <c r="AI8" s="82">
        <v>-15600.0</v>
      </c>
      <c r="AJ8" s="33"/>
    </row>
    <row r="9">
      <c r="A9" s="180">
        <v>45525.0</v>
      </c>
      <c r="B9" s="82" t="s">
        <v>911</v>
      </c>
      <c r="C9" s="82">
        <v>70035.0</v>
      </c>
      <c r="E9" s="181">
        <v>45520.0</v>
      </c>
      <c r="F9" s="182" t="s">
        <v>912</v>
      </c>
      <c r="G9" s="82">
        <v>4330.81</v>
      </c>
      <c r="I9" s="180">
        <v>45534.0</v>
      </c>
      <c r="J9" s="82" t="s">
        <v>913</v>
      </c>
      <c r="K9" s="82">
        <v>15000.0</v>
      </c>
      <c r="M9" s="116"/>
      <c r="N9" s="116"/>
      <c r="O9" s="116"/>
      <c r="Q9" s="116"/>
      <c r="R9" s="116"/>
      <c r="S9" s="116"/>
      <c r="U9" s="116"/>
      <c r="V9" s="116"/>
      <c r="W9" s="116"/>
      <c r="Y9" s="116"/>
      <c r="Z9" s="116"/>
      <c r="AA9" s="116"/>
      <c r="AC9" s="180">
        <v>45534.0</v>
      </c>
      <c r="AD9" s="82" t="s">
        <v>914</v>
      </c>
      <c r="AE9" s="82">
        <v>-18300.0</v>
      </c>
      <c r="AF9" s="183"/>
      <c r="AG9" s="181">
        <v>45525.0</v>
      </c>
      <c r="AH9" s="82" t="s">
        <v>915</v>
      </c>
      <c r="AI9" s="82">
        <v>142488.6</v>
      </c>
    </row>
    <row r="10">
      <c r="A10" s="180">
        <v>45525.0</v>
      </c>
      <c r="B10" s="82" t="s">
        <v>916</v>
      </c>
      <c r="C10" s="82">
        <v>-6341.0</v>
      </c>
      <c r="E10" s="180">
        <v>45525.0</v>
      </c>
      <c r="F10" s="82" t="s">
        <v>917</v>
      </c>
      <c r="G10" s="82">
        <v>6341.0</v>
      </c>
      <c r="I10" s="180"/>
      <c r="J10" s="116"/>
      <c r="K10" s="116"/>
      <c r="M10" s="116"/>
      <c r="N10" s="116"/>
      <c r="O10" s="116"/>
      <c r="Q10" s="116"/>
      <c r="R10" s="116"/>
      <c r="S10" s="116"/>
      <c r="U10" s="116"/>
      <c r="V10" s="116"/>
      <c r="W10" s="116"/>
      <c r="Y10" s="116"/>
      <c r="Z10" s="116"/>
      <c r="AA10" s="116"/>
      <c r="AC10" s="116"/>
      <c r="AD10" s="116"/>
      <c r="AE10" s="116"/>
      <c r="AF10" s="184"/>
      <c r="AG10" s="180">
        <v>45526.0</v>
      </c>
      <c r="AH10" s="82" t="s">
        <v>918</v>
      </c>
      <c r="AI10" s="82">
        <v>-14679.6</v>
      </c>
    </row>
    <row r="11">
      <c r="A11" s="180">
        <v>45525.0</v>
      </c>
      <c r="B11" s="82" t="s">
        <v>919</v>
      </c>
      <c r="C11" s="82">
        <v>-38554.95</v>
      </c>
      <c r="E11" s="180">
        <v>45525.0</v>
      </c>
      <c r="F11" s="82" t="s">
        <v>920</v>
      </c>
      <c r="G11" s="82">
        <v>81553.29</v>
      </c>
      <c r="I11" s="116"/>
      <c r="J11" s="116"/>
      <c r="K11" s="116"/>
      <c r="M11" s="116"/>
      <c r="N11" s="116"/>
      <c r="O11" s="116"/>
      <c r="Q11" s="116"/>
      <c r="R11" s="116"/>
      <c r="S11" s="116"/>
      <c r="U11" s="116"/>
      <c r="V11" s="116"/>
      <c r="W11" s="116"/>
      <c r="Y11" s="116"/>
      <c r="Z11" s="116"/>
      <c r="AA11" s="116"/>
      <c r="AC11" s="116"/>
      <c r="AD11" s="116"/>
      <c r="AE11" s="116"/>
      <c r="AF11" s="184"/>
      <c r="AG11" s="180">
        <v>45525.0</v>
      </c>
      <c r="AH11" s="82" t="s">
        <v>921</v>
      </c>
      <c r="AI11" s="82">
        <v>-7452.0</v>
      </c>
    </row>
    <row r="12">
      <c r="A12" s="180">
        <v>45526.0</v>
      </c>
      <c r="B12" s="82" t="s">
        <v>922</v>
      </c>
      <c r="C12" s="82">
        <v>-142488.6</v>
      </c>
      <c r="E12" s="180">
        <v>45525.0</v>
      </c>
      <c r="F12" s="82" t="s">
        <v>923</v>
      </c>
      <c r="G12" s="82">
        <v>4077.66</v>
      </c>
      <c r="I12" s="116"/>
      <c r="J12" s="116"/>
      <c r="K12" s="116"/>
      <c r="M12" s="116"/>
      <c r="N12" s="116"/>
      <c r="O12" s="116"/>
      <c r="Q12" s="116"/>
      <c r="R12" s="116"/>
      <c r="S12" s="116"/>
      <c r="U12" s="116"/>
      <c r="V12" s="116"/>
      <c r="W12" s="116"/>
      <c r="Y12" s="116"/>
      <c r="Z12" s="116"/>
      <c r="AA12" s="116"/>
      <c r="AC12" s="116"/>
      <c r="AD12" s="116"/>
      <c r="AE12" s="116"/>
      <c r="AF12" s="184"/>
      <c r="AG12" s="180">
        <v>45526.0</v>
      </c>
      <c r="AH12" s="82" t="s">
        <v>924</v>
      </c>
      <c r="AI12" s="82">
        <v>-124669.0</v>
      </c>
    </row>
    <row r="13">
      <c r="A13" s="180"/>
      <c r="B13" s="82"/>
      <c r="C13" s="82"/>
      <c r="E13" s="180">
        <v>45526.0</v>
      </c>
      <c r="F13" s="82" t="s">
        <v>925</v>
      </c>
      <c r="G13" s="82">
        <v>-57087.3</v>
      </c>
      <c r="I13" s="116"/>
      <c r="J13" s="116"/>
      <c r="K13" s="116"/>
      <c r="M13" s="116"/>
      <c r="N13" s="116"/>
      <c r="O13" s="116"/>
      <c r="Q13" s="116"/>
      <c r="R13" s="116"/>
      <c r="S13" s="116"/>
      <c r="U13" s="116"/>
      <c r="V13" s="116"/>
      <c r="W13" s="116"/>
      <c r="Y13" s="116"/>
      <c r="Z13" s="116"/>
      <c r="AA13" s="116"/>
      <c r="AC13" s="116"/>
      <c r="AD13" s="116"/>
      <c r="AE13" s="116"/>
      <c r="AF13" s="184"/>
      <c r="AG13" s="180">
        <v>45526.0</v>
      </c>
      <c r="AH13" s="82" t="s">
        <v>926</v>
      </c>
      <c r="AI13" s="82">
        <v>-52905.0</v>
      </c>
    </row>
    <row r="14">
      <c r="A14" s="180"/>
      <c r="B14" s="82"/>
      <c r="C14" s="82"/>
      <c r="E14" s="180">
        <v>45534.0</v>
      </c>
      <c r="F14" s="82" t="s">
        <v>927</v>
      </c>
      <c r="G14" s="82">
        <v>-50000.0</v>
      </c>
      <c r="I14" s="116"/>
      <c r="J14" s="116"/>
      <c r="K14" s="116"/>
      <c r="M14" s="116"/>
      <c r="N14" s="116"/>
      <c r="O14" s="116"/>
      <c r="Q14" s="116"/>
      <c r="R14" s="116"/>
      <c r="S14" s="116"/>
      <c r="U14" s="116"/>
      <c r="V14" s="116"/>
      <c r="W14" s="116"/>
      <c r="Y14" s="116"/>
      <c r="Z14" s="116"/>
      <c r="AA14" s="116"/>
      <c r="AC14" s="116"/>
      <c r="AD14" s="116"/>
      <c r="AE14" s="116"/>
      <c r="AG14" s="116"/>
      <c r="AH14" s="116"/>
      <c r="AI14" s="116"/>
    </row>
    <row r="15">
      <c r="A15" s="180"/>
      <c r="B15" s="82"/>
      <c r="C15" s="82"/>
      <c r="E15" s="180">
        <v>45534.0</v>
      </c>
      <c r="F15" s="82" t="s">
        <v>928</v>
      </c>
      <c r="G15" s="82">
        <v>-25000.0</v>
      </c>
      <c r="I15" s="116"/>
      <c r="J15" s="116"/>
      <c r="K15" s="116"/>
      <c r="M15" s="116"/>
      <c r="N15" s="116"/>
      <c r="O15" s="116"/>
      <c r="Q15" s="116"/>
      <c r="R15" s="116"/>
      <c r="S15" s="116"/>
      <c r="U15" s="116"/>
      <c r="V15" s="116"/>
      <c r="W15" s="116"/>
      <c r="Y15" s="116"/>
      <c r="Z15" s="116"/>
      <c r="AA15" s="116"/>
      <c r="AC15" s="116"/>
      <c r="AD15" s="116"/>
      <c r="AE15" s="116"/>
      <c r="AG15" s="116"/>
      <c r="AH15" s="116"/>
      <c r="AI15" s="116"/>
    </row>
    <row r="16">
      <c r="A16" s="180"/>
      <c r="B16" s="82"/>
      <c r="C16" s="82"/>
      <c r="E16" s="185">
        <v>45534.0</v>
      </c>
      <c r="F16" s="186" t="s">
        <v>929</v>
      </c>
      <c r="G16" s="187">
        <v>-19600.0</v>
      </c>
      <c r="I16" s="116"/>
      <c r="J16" s="116"/>
      <c r="K16" s="116"/>
      <c r="M16" s="116"/>
      <c r="N16" s="116"/>
      <c r="O16" s="116"/>
      <c r="Q16" s="116"/>
      <c r="R16" s="116"/>
      <c r="S16" s="116"/>
      <c r="U16" s="116"/>
      <c r="V16" s="116"/>
      <c r="W16" s="116"/>
      <c r="Y16" s="116"/>
      <c r="Z16" s="116"/>
      <c r="AA16" s="116"/>
      <c r="AC16" s="116"/>
      <c r="AD16" s="116"/>
      <c r="AE16" s="116"/>
      <c r="AG16" s="116"/>
      <c r="AH16" s="116"/>
      <c r="AI16" s="116"/>
    </row>
    <row r="17">
      <c r="A17" s="180"/>
      <c r="B17" s="82"/>
      <c r="C17" s="82"/>
      <c r="E17" s="185">
        <v>45534.0</v>
      </c>
      <c r="F17" s="186" t="s">
        <v>930</v>
      </c>
      <c r="G17" s="187">
        <v>-15000.0</v>
      </c>
      <c r="I17" s="116"/>
      <c r="J17" s="116"/>
      <c r="K17" s="116"/>
      <c r="M17" s="116"/>
      <c r="N17" s="116"/>
      <c r="O17" s="116"/>
      <c r="Q17" s="116"/>
      <c r="R17" s="116"/>
      <c r="S17" s="116"/>
      <c r="U17" s="116"/>
      <c r="V17" s="116"/>
      <c r="W17" s="116"/>
      <c r="Y17" s="116"/>
      <c r="Z17" s="116"/>
      <c r="AA17" s="116"/>
      <c r="AC17" s="116"/>
      <c r="AD17" s="116"/>
      <c r="AE17" s="116"/>
      <c r="AG17" s="116"/>
      <c r="AH17" s="116"/>
      <c r="AI17" s="116"/>
    </row>
    <row r="18">
      <c r="A18" s="180"/>
      <c r="B18" s="82"/>
      <c r="C18" s="82"/>
      <c r="E18" s="188">
        <v>45534.0</v>
      </c>
      <c r="F18" s="186" t="s">
        <v>931</v>
      </c>
      <c r="G18" s="187">
        <v>-27000.0</v>
      </c>
      <c r="I18" s="116"/>
      <c r="J18" s="116"/>
      <c r="K18" s="116"/>
      <c r="M18" s="116"/>
      <c r="N18" s="116"/>
      <c r="O18" s="116"/>
      <c r="Q18" s="116"/>
      <c r="R18" s="116"/>
      <c r="S18" s="116"/>
      <c r="U18" s="116"/>
      <c r="V18" s="116"/>
      <c r="W18" s="116"/>
      <c r="Y18" s="116"/>
      <c r="Z18" s="116"/>
      <c r="AA18" s="116"/>
      <c r="AC18" s="116"/>
      <c r="AD18" s="116"/>
      <c r="AE18" s="116"/>
      <c r="AG18" s="116"/>
      <c r="AH18" s="116"/>
      <c r="AI18" s="116"/>
    </row>
    <row r="19">
      <c r="A19" s="180"/>
      <c r="B19" s="82"/>
      <c r="C19" s="82"/>
      <c r="E19" s="185"/>
      <c r="F19" s="186"/>
      <c r="G19" s="187"/>
      <c r="I19" s="116"/>
      <c r="J19" s="116"/>
      <c r="K19" s="116"/>
      <c r="M19" s="116"/>
      <c r="N19" s="116"/>
      <c r="O19" s="116"/>
      <c r="Q19" s="116"/>
      <c r="R19" s="116"/>
      <c r="S19" s="116"/>
      <c r="U19" s="116"/>
      <c r="V19" s="116"/>
      <c r="W19" s="116"/>
      <c r="Y19" s="116"/>
      <c r="Z19" s="116"/>
      <c r="AA19" s="116"/>
      <c r="AC19" s="116"/>
      <c r="AD19" s="116"/>
      <c r="AE19" s="116"/>
      <c r="AG19" s="116"/>
      <c r="AH19" s="116"/>
      <c r="AI19" s="116"/>
    </row>
    <row r="20">
      <c r="A20" s="189" t="s">
        <v>932</v>
      </c>
      <c r="B20" s="21"/>
      <c r="C20" s="116">
        <f>SUM(C7:C16)</f>
        <v>5776.45</v>
      </c>
      <c r="E20" s="189" t="s">
        <v>932</v>
      </c>
      <c r="F20" s="21"/>
      <c r="G20" s="116">
        <f>SUM(G7:G19)</f>
        <v>76259.46</v>
      </c>
      <c r="I20" s="189" t="s">
        <v>932</v>
      </c>
      <c r="J20" s="21"/>
      <c r="K20" s="116">
        <f>SUM(K7:K19)</f>
        <v>22970</v>
      </c>
      <c r="M20" s="189" t="s">
        <v>932</v>
      </c>
      <c r="N20" s="21"/>
      <c r="O20" s="116">
        <f>SUM(O7:O16)</f>
        <v>-133315</v>
      </c>
      <c r="Q20" s="189" t="s">
        <v>932</v>
      </c>
      <c r="R20" s="21"/>
      <c r="S20" s="116"/>
      <c r="U20" s="189" t="s">
        <v>932</v>
      </c>
      <c r="V20" s="21"/>
      <c r="W20" s="116">
        <f>SUM(W7:W19)</f>
        <v>-44830</v>
      </c>
      <c r="Y20" s="189" t="s">
        <v>932</v>
      </c>
      <c r="Z20" s="21"/>
      <c r="AA20" s="116">
        <f>SUM(AA7:AA18)</f>
        <v>-9088</v>
      </c>
      <c r="AC20" s="189" t="s">
        <v>932</v>
      </c>
      <c r="AD20" s="21"/>
      <c r="AE20" s="116">
        <f>SUM(AE7:AE19)</f>
        <v>7700</v>
      </c>
      <c r="AF20" s="174"/>
      <c r="AG20" s="189" t="s">
        <v>932</v>
      </c>
      <c r="AH20" s="21"/>
      <c r="AI20" s="116">
        <f>SUM(AI7:AI16)</f>
        <v>0</v>
      </c>
    </row>
    <row r="23">
      <c r="A23" s="190"/>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row>
    <row r="24">
      <c r="A24" s="191"/>
      <c r="B24" s="191"/>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c r="AA24" s="191"/>
      <c r="AB24" s="191"/>
      <c r="AC24" s="191"/>
      <c r="AD24" s="191"/>
      <c r="AE24" s="191"/>
      <c r="AF24" s="191"/>
      <c r="AG24" s="191"/>
      <c r="AH24" s="191"/>
      <c r="AI24" s="191"/>
      <c r="AJ24" s="191"/>
    </row>
    <row r="25">
      <c r="A25" s="174" t="s">
        <v>933</v>
      </c>
      <c r="C25" s="175" t="s">
        <v>895</v>
      </c>
      <c r="D25" s="82" t="s">
        <v>136</v>
      </c>
      <c r="E25" s="82" t="s">
        <v>896</v>
      </c>
      <c r="F25" s="82" t="s">
        <v>897</v>
      </c>
    </row>
    <row r="26">
      <c r="A26" s="33"/>
      <c r="C26" s="175">
        <f>D26+F26</f>
        <v>31955.37</v>
      </c>
      <c r="D26" s="82">
        <f>60821+G36+G38</f>
        <v>31955.37</v>
      </c>
      <c r="E26" s="82">
        <v>0.0</v>
      </c>
      <c r="F26" s="82"/>
    </row>
    <row r="27">
      <c r="A27" s="33" t="s">
        <v>46</v>
      </c>
    </row>
    <row r="29">
      <c r="A29" s="176" t="s">
        <v>898</v>
      </c>
      <c r="B29" s="177"/>
      <c r="C29" s="21"/>
      <c r="E29" s="176" t="s">
        <v>899</v>
      </c>
      <c r="F29" s="177"/>
      <c r="G29" s="21"/>
      <c r="I29" s="176" t="s">
        <v>900</v>
      </c>
      <c r="J29" s="177"/>
      <c r="K29" s="21"/>
      <c r="M29" s="176" t="s">
        <v>0</v>
      </c>
      <c r="N29" s="177"/>
      <c r="O29" s="21"/>
      <c r="Q29" s="176" t="s">
        <v>1</v>
      </c>
      <c r="R29" s="177"/>
      <c r="S29" s="21"/>
      <c r="U29" s="176" t="s">
        <v>44</v>
      </c>
      <c r="V29" s="177"/>
      <c r="W29" s="21"/>
      <c r="Y29" s="176" t="s">
        <v>2</v>
      </c>
      <c r="Z29" s="177"/>
      <c r="AA29" s="21"/>
      <c r="AC29" s="176" t="s">
        <v>901</v>
      </c>
      <c r="AD29" s="177"/>
      <c r="AE29" s="21"/>
      <c r="AF29" s="178"/>
      <c r="AG29" s="176" t="s">
        <v>45</v>
      </c>
      <c r="AH29" s="177"/>
      <c r="AI29" s="21"/>
      <c r="AJ29" s="178"/>
    </row>
    <row r="30">
      <c r="A30" s="117" t="s">
        <v>99</v>
      </c>
      <c r="B30" s="117" t="s">
        <v>855</v>
      </c>
      <c r="C30" s="117" t="s">
        <v>4</v>
      </c>
      <c r="E30" s="117" t="s">
        <v>99</v>
      </c>
      <c r="F30" s="117" t="s">
        <v>855</v>
      </c>
      <c r="G30" s="117" t="s">
        <v>4</v>
      </c>
      <c r="I30" s="117" t="s">
        <v>99</v>
      </c>
      <c r="J30" s="117" t="s">
        <v>855</v>
      </c>
      <c r="K30" s="117" t="s">
        <v>4</v>
      </c>
      <c r="M30" s="117" t="s">
        <v>99</v>
      </c>
      <c r="N30" s="117" t="s">
        <v>855</v>
      </c>
      <c r="O30" s="117" t="s">
        <v>4</v>
      </c>
      <c r="Q30" s="117" t="s">
        <v>99</v>
      </c>
      <c r="R30" s="117" t="s">
        <v>855</v>
      </c>
      <c r="S30" s="117" t="s">
        <v>4</v>
      </c>
      <c r="U30" s="117" t="s">
        <v>99</v>
      </c>
      <c r="V30" s="117" t="s">
        <v>855</v>
      </c>
      <c r="W30" s="117" t="s">
        <v>4</v>
      </c>
      <c r="Y30" s="117" t="s">
        <v>99</v>
      </c>
      <c r="Z30" s="117" t="s">
        <v>855</v>
      </c>
      <c r="AA30" s="117" t="s">
        <v>4</v>
      </c>
      <c r="AC30" s="117" t="s">
        <v>99</v>
      </c>
      <c r="AD30" s="117" t="s">
        <v>855</v>
      </c>
      <c r="AE30" s="117" t="s">
        <v>4</v>
      </c>
      <c r="AF30" s="179"/>
      <c r="AG30" s="117" t="s">
        <v>99</v>
      </c>
      <c r="AH30" s="117" t="s">
        <v>855</v>
      </c>
      <c r="AI30" s="117" t="s">
        <v>4</v>
      </c>
      <c r="AJ30" s="179"/>
    </row>
    <row r="31">
      <c r="A31" s="82" t="s">
        <v>902</v>
      </c>
      <c r="B31" s="116"/>
      <c r="C31" s="82">
        <v>6179.0</v>
      </c>
      <c r="E31" s="82" t="s">
        <v>902</v>
      </c>
      <c r="F31" s="116"/>
      <c r="G31" s="82">
        <v>76831.0</v>
      </c>
      <c r="I31" s="82" t="s">
        <v>902</v>
      </c>
      <c r="J31" s="116"/>
      <c r="K31" s="82">
        <v>22970.0</v>
      </c>
      <c r="M31" s="82" t="s">
        <v>902</v>
      </c>
      <c r="N31" s="82" t="s">
        <v>903</v>
      </c>
      <c r="O31" s="82">
        <v>-133315.0</v>
      </c>
      <c r="Q31" s="82" t="s">
        <v>902</v>
      </c>
      <c r="R31" s="116"/>
      <c r="S31" s="82">
        <v>0.0</v>
      </c>
      <c r="U31" s="82" t="s">
        <v>902</v>
      </c>
      <c r="V31" s="82" t="s">
        <v>903</v>
      </c>
      <c r="W31" s="82">
        <v>-44830.0</v>
      </c>
      <c r="Y31" s="82" t="s">
        <v>902</v>
      </c>
      <c r="Z31" s="82" t="s">
        <v>903</v>
      </c>
      <c r="AA31" s="82">
        <v>-9088.0</v>
      </c>
      <c r="AC31" s="82" t="s">
        <v>902</v>
      </c>
      <c r="AD31" s="116"/>
      <c r="AE31" s="82">
        <v>7700.0</v>
      </c>
      <c r="AF31" s="33"/>
      <c r="AG31" s="82" t="s">
        <v>902</v>
      </c>
      <c r="AH31" s="82"/>
      <c r="AI31" s="82"/>
      <c r="AJ31" s="33"/>
    </row>
    <row r="32">
      <c r="A32" s="180">
        <v>45544.0</v>
      </c>
      <c r="B32" s="82" t="s">
        <v>934</v>
      </c>
      <c r="C32" s="82">
        <v>144000.0</v>
      </c>
      <c r="E32" s="181">
        <v>45539.0</v>
      </c>
      <c r="F32" s="182" t="s">
        <v>935</v>
      </c>
      <c r="G32" s="82">
        <v>-1197.0</v>
      </c>
      <c r="I32" s="180">
        <v>45539.0</v>
      </c>
      <c r="J32" s="82" t="s">
        <v>936</v>
      </c>
      <c r="K32" s="82">
        <v>-16500.0</v>
      </c>
      <c r="M32" s="180">
        <v>45537.0</v>
      </c>
      <c r="N32" s="82" t="s">
        <v>937</v>
      </c>
      <c r="O32" s="82">
        <v>-560.0</v>
      </c>
      <c r="Q32" s="116"/>
      <c r="R32" s="116"/>
      <c r="S32" s="116"/>
      <c r="U32" s="180">
        <v>45547.0</v>
      </c>
      <c r="V32" s="82" t="s">
        <v>938</v>
      </c>
      <c r="W32" s="82">
        <v>-3591.0</v>
      </c>
      <c r="Y32" s="180">
        <v>45551.0</v>
      </c>
      <c r="Z32" s="82" t="s">
        <v>939</v>
      </c>
      <c r="AA32" s="82">
        <v>-280.0</v>
      </c>
      <c r="AC32" s="180"/>
      <c r="AD32" s="82"/>
      <c r="AE32" s="82"/>
      <c r="AG32" s="180">
        <v>45541.0</v>
      </c>
      <c r="AH32" s="82" t="s">
        <v>940</v>
      </c>
      <c r="AI32" s="82">
        <v>-38370.0</v>
      </c>
      <c r="AJ32" s="33"/>
    </row>
    <row r="33">
      <c r="A33" s="180">
        <v>45544.0</v>
      </c>
      <c r="B33" s="192" t="s">
        <v>941</v>
      </c>
      <c r="C33" s="82">
        <v>-86400.0</v>
      </c>
      <c r="E33" s="181">
        <v>45539.0</v>
      </c>
      <c r="F33" s="182" t="s">
        <v>942</v>
      </c>
      <c r="G33" s="82">
        <v>-3622.0</v>
      </c>
      <c r="I33" s="180">
        <v>45547.0</v>
      </c>
      <c r="J33" s="82" t="s">
        <v>943</v>
      </c>
      <c r="K33" s="82">
        <v>1800.0</v>
      </c>
      <c r="M33" s="180"/>
      <c r="N33" s="82"/>
      <c r="O33" s="82"/>
      <c r="Q33" s="116"/>
      <c r="R33" s="116"/>
      <c r="S33" s="116"/>
      <c r="U33" s="180">
        <v>45552.0</v>
      </c>
      <c r="V33" s="82" t="s">
        <v>944</v>
      </c>
      <c r="W33" s="82">
        <v>-1520.0</v>
      </c>
      <c r="Y33" s="180">
        <v>45562.0</v>
      </c>
      <c r="Z33" s="82" t="s">
        <v>945</v>
      </c>
      <c r="AA33" s="82">
        <v>-270.0</v>
      </c>
      <c r="AC33" s="180"/>
      <c r="AD33" s="82"/>
      <c r="AE33" s="82"/>
      <c r="AF33" s="183"/>
      <c r="AG33" s="181">
        <v>45546.0</v>
      </c>
      <c r="AH33" s="82" t="s">
        <v>946</v>
      </c>
      <c r="AI33" s="82">
        <v>-24700.0</v>
      </c>
    </row>
    <row r="34">
      <c r="A34" s="180">
        <v>45546.0</v>
      </c>
      <c r="B34" s="82" t="s">
        <v>947</v>
      </c>
      <c r="C34" s="82">
        <v>-28800.0</v>
      </c>
      <c r="E34" s="180">
        <v>45540.0</v>
      </c>
      <c r="F34" s="182" t="s">
        <v>948</v>
      </c>
      <c r="G34" s="82">
        <v>-2100.0</v>
      </c>
      <c r="I34" s="180">
        <v>45547.0</v>
      </c>
      <c r="J34" s="82" t="s">
        <v>949</v>
      </c>
      <c r="K34" s="82">
        <v>4110.0</v>
      </c>
      <c r="M34" s="116"/>
      <c r="N34" s="116"/>
      <c r="O34" s="116"/>
      <c r="Q34" s="116"/>
      <c r="R34" s="116"/>
      <c r="S34" s="116"/>
      <c r="U34" s="180">
        <v>45553.0</v>
      </c>
      <c r="V34" s="82" t="s">
        <v>950</v>
      </c>
      <c r="W34" s="82">
        <v>-414.0</v>
      </c>
      <c r="Y34" s="116"/>
      <c r="Z34" s="116"/>
      <c r="AA34" s="116"/>
      <c r="AC34" s="116"/>
      <c r="AD34" s="116"/>
      <c r="AE34" s="116"/>
      <c r="AF34" s="184"/>
      <c r="AG34" s="180">
        <v>45550.0</v>
      </c>
      <c r="AH34" s="82" t="s">
        <v>951</v>
      </c>
      <c r="AI34" s="82">
        <v>-15000.0</v>
      </c>
    </row>
    <row r="35">
      <c r="A35" s="180">
        <v>45546.0</v>
      </c>
      <c r="B35" s="82" t="s">
        <v>952</v>
      </c>
      <c r="C35" s="82">
        <v>14700.0</v>
      </c>
      <c r="E35" s="180">
        <v>45544.0</v>
      </c>
      <c r="F35" s="182" t="s">
        <v>942</v>
      </c>
      <c r="G35" s="82">
        <v>-2050.0</v>
      </c>
      <c r="I35" s="180">
        <v>45547.0</v>
      </c>
      <c r="J35" s="82" t="s">
        <v>953</v>
      </c>
      <c r="K35" s="82">
        <v>3850.0</v>
      </c>
      <c r="M35" s="116"/>
      <c r="N35" s="116"/>
      <c r="O35" s="116"/>
      <c r="Q35" s="116"/>
      <c r="R35" s="116"/>
      <c r="S35" s="116"/>
      <c r="U35" s="116"/>
      <c r="V35" s="116"/>
      <c r="W35" s="116"/>
      <c r="Y35" s="116"/>
      <c r="Z35" s="116"/>
      <c r="AA35" s="116"/>
      <c r="AC35" s="116"/>
      <c r="AD35" s="116"/>
      <c r="AE35" s="116"/>
      <c r="AF35" s="184"/>
      <c r="AG35" s="180">
        <v>45554.0</v>
      </c>
      <c r="AH35" s="82" t="s">
        <v>954</v>
      </c>
      <c r="AI35" s="82">
        <v>-37100.0</v>
      </c>
    </row>
    <row r="36">
      <c r="A36" s="180">
        <v>45547.0</v>
      </c>
      <c r="B36" s="82" t="s">
        <v>955</v>
      </c>
      <c r="C36" s="82">
        <v>18036.65</v>
      </c>
      <c r="E36" s="180">
        <v>45559.0</v>
      </c>
      <c r="F36" s="82" t="s">
        <v>956</v>
      </c>
      <c r="G36" s="82">
        <v>-43165.0</v>
      </c>
      <c r="I36" s="116"/>
      <c r="J36" s="116"/>
      <c r="K36" s="116"/>
      <c r="M36" s="116"/>
      <c r="N36" s="116"/>
      <c r="O36" s="116"/>
      <c r="Q36" s="116"/>
      <c r="R36" s="116"/>
      <c r="S36" s="116"/>
      <c r="U36" s="116"/>
      <c r="V36" s="116"/>
      <c r="W36" s="116"/>
      <c r="Y36" s="116"/>
      <c r="Z36" s="116"/>
      <c r="AA36" s="116"/>
      <c r="AC36" s="116"/>
      <c r="AD36" s="116"/>
      <c r="AE36" s="116"/>
      <c r="AF36" s="184"/>
      <c r="AG36" s="180">
        <v>45563.0</v>
      </c>
      <c r="AH36" s="82" t="s">
        <v>957</v>
      </c>
      <c r="AI36" s="82">
        <v>-1230.0</v>
      </c>
    </row>
    <row r="37">
      <c r="A37" s="180">
        <v>45551.0</v>
      </c>
      <c r="B37" s="82" t="s">
        <v>310</v>
      </c>
      <c r="C37" s="82">
        <v>78566.08</v>
      </c>
      <c r="E37" s="180">
        <v>45565.0</v>
      </c>
      <c r="F37" s="82" t="s">
        <v>958</v>
      </c>
      <c r="G37" s="82">
        <f>95618.46+95618.46+94750.6</f>
        <v>285987.52</v>
      </c>
      <c r="I37" s="116"/>
      <c r="J37" s="116"/>
      <c r="K37" s="116"/>
      <c r="M37" s="116"/>
      <c r="N37" s="116"/>
      <c r="O37" s="116"/>
      <c r="Q37" s="116"/>
      <c r="R37" s="116"/>
      <c r="S37" s="116"/>
      <c r="U37" s="116"/>
      <c r="V37" s="116"/>
      <c r="W37" s="116"/>
      <c r="Y37" s="116"/>
      <c r="Z37" s="116"/>
      <c r="AA37" s="116"/>
      <c r="AC37" s="116"/>
      <c r="AD37" s="116"/>
      <c r="AE37" s="116"/>
      <c r="AF37" s="184"/>
      <c r="AG37" s="180"/>
      <c r="AH37" s="82"/>
      <c r="AI37" s="82"/>
    </row>
    <row r="38">
      <c r="A38" s="180">
        <v>45552.0</v>
      </c>
      <c r="B38" s="82" t="s">
        <v>959</v>
      </c>
      <c r="C38" s="82">
        <v>-540.0</v>
      </c>
      <c r="E38" s="180">
        <v>45565.0</v>
      </c>
      <c r="F38" s="82" t="s">
        <v>960</v>
      </c>
      <c r="G38" s="82">
        <f>4780.92+4780.92+4737.53</f>
        <v>14299.37</v>
      </c>
      <c r="I38" s="116"/>
      <c r="J38" s="116"/>
      <c r="K38" s="116"/>
      <c r="M38" s="116"/>
      <c r="N38" s="116"/>
      <c r="O38" s="116"/>
      <c r="Q38" s="116"/>
      <c r="R38" s="116"/>
      <c r="S38" s="116"/>
      <c r="U38" s="116"/>
      <c r="V38" s="116"/>
      <c r="W38" s="116"/>
      <c r="Y38" s="116"/>
      <c r="Z38" s="116"/>
      <c r="AA38" s="116"/>
      <c r="AC38" s="116"/>
      <c r="AD38" s="116"/>
      <c r="AE38" s="116"/>
      <c r="AG38" s="116"/>
      <c r="AH38" s="116"/>
      <c r="AI38" s="116"/>
    </row>
    <row r="39">
      <c r="A39" s="180">
        <v>45552.0</v>
      </c>
      <c r="B39" s="82" t="s">
        <v>961</v>
      </c>
      <c r="C39" s="82">
        <v>-5661.2</v>
      </c>
      <c r="E39" s="82" t="s">
        <v>962</v>
      </c>
      <c r="F39" s="82" t="s">
        <v>963</v>
      </c>
      <c r="G39" s="82">
        <v>-12271.0</v>
      </c>
      <c r="I39" s="116"/>
      <c r="J39" s="116"/>
      <c r="K39" s="116"/>
      <c r="M39" s="116"/>
      <c r="N39" s="116"/>
      <c r="O39" s="116"/>
      <c r="Q39" s="116"/>
      <c r="R39" s="116"/>
      <c r="S39" s="116"/>
      <c r="U39" s="116"/>
      <c r="V39" s="116"/>
      <c r="W39" s="116"/>
      <c r="Y39" s="116"/>
      <c r="Z39" s="116"/>
      <c r="AA39" s="116"/>
      <c r="AC39" s="116"/>
      <c r="AD39" s="116"/>
      <c r="AE39" s="116"/>
      <c r="AG39" s="116"/>
      <c r="AH39" s="116"/>
      <c r="AI39" s="116"/>
    </row>
    <row r="40">
      <c r="A40" s="180">
        <v>45553.0</v>
      </c>
      <c r="B40" s="82" t="s">
        <v>964</v>
      </c>
      <c r="C40" s="82">
        <v>-49384.0</v>
      </c>
      <c r="E40" s="185"/>
      <c r="F40" s="186"/>
      <c r="G40" s="187"/>
      <c r="I40" s="116"/>
      <c r="J40" s="116"/>
      <c r="K40" s="116"/>
      <c r="M40" s="116"/>
      <c r="N40" s="116"/>
      <c r="O40" s="116"/>
      <c r="Q40" s="116"/>
      <c r="R40" s="116"/>
      <c r="S40" s="116"/>
      <c r="U40" s="116"/>
      <c r="V40" s="116"/>
      <c r="W40" s="116"/>
      <c r="Y40" s="116"/>
      <c r="Z40" s="116"/>
      <c r="AA40" s="116"/>
      <c r="AC40" s="116"/>
      <c r="AD40" s="116"/>
      <c r="AE40" s="116"/>
      <c r="AG40" s="116"/>
      <c r="AH40" s="116"/>
      <c r="AI40" s="116"/>
    </row>
    <row r="41">
      <c r="A41" s="180">
        <v>45554.0</v>
      </c>
      <c r="B41" s="82" t="s">
        <v>965</v>
      </c>
      <c r="C41" s="82">
        <v>26128.0</v>
      </c>
      <c r="E41" s="185"/>
      <c r="F41" s="186"/>
      <c r="G41" s="187"/>
      <c r="I41" s="116"/>
      <c r="J41" s="116"/>
      <c r="K41" s="116"/>
      <c r="M41" s="116"/>
      <c r="N41" s="116"/>
      <c r="O41" s="116"/>
      <c r="Q41" s="116"/>
      <c r="R41" s="116"/>
      <c r="S41" s="116"/>
      <c r="U41" s="116"/>
      <c r="V41" s="116"/>
      <c r="W41" s="116"/>
      <c r="Y41" s="116"/>
      <c r="Z41" s="116"/>
      <c r="AA41" s="116"/>
      <c r="AC41" s="116"/>
      <c r="AD41" s="116"/>
      <c r="AE41" s="116"/>
      <c r="AG41" s="116"/>
      <c r="AH41" s="116"/>
      <c r="AI41" s="116"/>
    </row>
    <row r="42">
      <c r="A42" s="180">
        <v>45554.0</v>
      </c>
      <c r="B42" s="82" t="s">
        <v>966</v>
      </c>
      <c r="C42" s="82">
        <v>-10971.0</v>
      </c>
      <c r="E42" s="188"/>
      <c r="F42" s="186"/>
      <c r="G42" s="187"/>
      <c r="I42" s="116"/>
      <c r="J42" s="116"/>
      <c r="K42" s="116"/>
      <c r="M42" s="116"/>
      <c r="N42" s="116"/>
      <c r="O42" s="116"/>
      <c r="Q42" s="116"/>
      <c r="R42" s="116"/>
      <c r="S42" s="116"/>
      <c r="U42" s="116"/>
      <c r="V42" s="116"/>
      <c r="W42" s="116"/>
      <c r="Y42" s="116"/>
      <c r="Z42" s="116"/>
      <c r="AA42" s="116"/>
      <c r="AC42" s="116"/>
      <c r="AD42" s="116"/>
      <c r="AE42" s="116"/>
      <c r="AG42" s="116"/>
      <c r="AH42" s="116"/>
      <c r="AI42" s="116"/>
    </row>
    <row r="43">
      <c r="A43" s="180">
        <v>45554.0</v>
      </c>
      <c r="B43" s="82" t="s">
        <v>967</v>
      </c>
      <c r="C43" s="82">
        <v>23280.48</v>
      </c>
      <c r="E43" s="185"/>
      <c r="F43" s="186"/>
      <c r="G43" s="187"/>
      <c r="I43" s="116"/>
      <c r="J43" s="116"/>
      <c r="K43" s="116"/>
      <c r="M43" s="116"/>
      <c r="N43" s="116"/>
      <c r="O43" s="116"/>
      <c r="Q43" s="116"/>
      <c r="R43" s="116"/>
      <c r="S43" s="116"/>
      <c r="U43" s="116"/>
      <c r="V43" s="116"/>
      <c r="W43" s="116"/>
      <c r="Y43" s="116"/>
      <c r="Z43" s="116"/>
      <c r="AA43" s="116"/>
      <c r="AC43" s="116"/>
      <c r="AD43" s="116"/>
      <c r="AE43" s="116"/>
      <c r="AG43" s="116"/>
      <c r="AH43" s="116"/>
      <c r="AI43" s="116"/>
    </row>
    <row r="44">
      <c r="A44" s="180">
        <v>45555.0</v>
      </c>
      <c r="B44" s="82" t="s">
        <v>968</v>
      </c>
      <c r="C44" s="82">
        <v>2750.0</v>
      </c>
      <c r="E44" s="185"/>
      <c r="F44" s="186"/>
      <c r="G44" s="187"/>
      <c r="I44" s="116"/>
      <c r="J44" s="116"/>
      <c r="K44" s="116"/>
      <c r="M44" s="116"/>
      <c r="N44" s="116"/>
      <c r="O44" s="116"/>
      <c r="Q44" s="116"/>
      <c r="R44" s="116"/>
      <c r="S44" s="116"/>
      <c r="U44" s="116"/>
      <c r="V44" s="116"/>
      <c r="W44" s="116"/>
      <c r="Y44" s="116"/>
      <c r="Z44" s="116"/>
      <c r="AA44" s="116"/>
      <c r="AC44" s="116"/>
      <c r="AD44" s="116"/>
      <c r="AE44" s="116"/>
      <c r="AG44" s="116"/>
      <c r="AH44" s="116"/>
      <c r="AI44" s="116"/>
    </row>
    <row r="45">
      <c r="A45" s="180">
        <v>45558.0</v>
      </c>
      <c r="B45" s="82" t="s">
        <v>969</v>
      </c>
      <c r="C45" s="82">
        <v>-1820.0</v>
      </c>
      <c r="E45" s="185"/>
      <c r="F45" s="186"/>
      <c r="G45" s="187"/>
      <c r="I45" s="116"/>
      <c r="J45" s="116"/>
      <c r="K45" s="116"/>
      <c r="M45" s="116"/>
      <c r="N45" s="116"/>
      <c r="O45" s="116"/>
      <c r="Q45" s="116"/>
      <c r="R45" s="116"/>
      <c r="S45" s="116"/>
      <c r="U45" s="116"/>
      <c r="V45" s="116"/>
      <c r="W45" s="116"/>
      <c r="Y45" s="116"/>
      <c r="Z45" s="116"/>
      <c r="AA45" s="116"/>
      <c r="AC45" s="116"/>
      <c r="AD45" s="116"/>
      <c r="AE45" s="116"/>
      <c r="AG45" s="116"/>
      <c r="AH45" s="116"/>
      <c r="AI45" s="116"/>
    </row>
    <row r="46">
      <c r="A46" s="180">
        <v>45559.0</v>
      </c>
      <c r="B46" s="82" t="s">
        <v>970</v>
      </c>
      <c r="C46" s="82">
        <v>-3780.0</v>
      </c>
      <c r="E46" s="185"/>
      <c r="F46" s="186"/>
      <c r="G46" s="187"/>
      <c r="I46" s="116"/>
      <c r="J46" s="116"/>
      <c r="K46" s="116"/>
      <c r="M46" s="116"/>
      <c r="N46" s="116"/>
      <c r="O46" s="116"/>
      <c r="Q46" s="116"/>
      <c r="R46" s="116"/>
      <c r="S46" s="116"/>
      <c r="U46" s="116"/>
      <c r="V46" s="116"/>
      <c r="W46" s="116"/>
      <c r="Y46" s="116"/>
      <c r="Z46" s="116"/>
      <c r="AA46" s="116"/>
      <c r="AC46" s="116"/>
      <c r="AD46" s="116"/>
      <c r="AE46" s="116"/>
      <c r="AG46" s="116"/>
      <c r="AH46" s="116"/>
      <c r="AI46" s="116"/>
    </row>
    <row r="47">
      <c r="A47" s="180">
        <v>45561.0</v>
      </c>
      <c r="B47" s="82" t="s">
        <v>971</v>
      </c>
      <c r="C47" s="82">
        <v>3000.0</v>
      </c>
      <c r="E47" s="185"/>
      <c r="F47" s="186"/>
      <c r="G47" s="187"/>
      <c r="I47" s="116"/>
      <c r="J47" s="116"/>
      <c r="K47" s="116"/>
      <c r="M47" s="116"/>
      <c r="N47" s="116"/>
      <c r="O47" s="116"/>
      <c r="Q47" s="116"/>
      <c r="R47" s="116"/>
      <c r="S47" s="116"/>
      <c r="U47" s="116"/>
      <c r="V47" s="116"/>
      <c r="W47" s="116"/>
      <c r="Y47" s="116"/>
      <c r="Z47" s="116"/>
      <c r="AA47" s="116"/>
      <c r="AC47" s="116"/>
      <c r="AD47" s="116"/>
      <c r="AE47" s="116"/>
      <c r="AG47" s="116"/>
      <c r="AH47" s="116"/>
      <c r="AI47" s="116"/>
    </row>
    <row r="48">
      <c r="A48" s="189" t="s">
        <v>932</v>
      </c>
      <c r="B48" s="21"/>
      <c r="C48" s="116">
        <f>SUM(C31:C47)</f>
        <v>129284.01</v>
      </c>
      <c r="E48" s="189" t="s">
        <v>932</v>
      </c>
      <c r="F48" s="21"/>
      <c r="G48" s="116">
        <f>SUM(G31:G43)</f>
        <v>312712.89</v>
      </c>
      <c r="I48" s="189" t="s">
        <v>932</v>
      </c>
      <c r="J48" s="21"/>
      <c r="K48" s="116">
        <f>SUM(K31:K47)</f>
        <v>16230</v>
      </c>
      <c r="M48" s="189" t="s">
        <v>932</v>
      </c>
      <c r="N48" s="21"/>
      <c r="O48" s="116">
        <f>SUM(O31:O40)</f>
        <v>-133875</v>
      </c>
      <c r="Q48" s="189" t="s">
        <v>932</v>
      </c>
      <c r="R48" s="21"/>
      <c r="S48" s="116"/>
      <c r="U48" s="189" t="s">
        <v>932</v>
      </c>
      <c r="V48" s="21"/>
      <c r="W48" s="116">
        <f>SUM(W31:W43)</f>
        <v>-50355</v>
      </c>
      <c r="Y48" s="189" t="s">
        <v>932</v>
      </c>
      <c r="Z48" s="21"/>
      <c r="AA48" s="116">
        <f>SUM(AA31:AA42)</f>
        <v>-9638</v>
      </c>
      <c r="AC48" s="189" t="s">
        <v>932</v>
      </c>
      <c r="AD48" s="21"/>
      <c r="AE48" s="116">
        <f>SUM(AE31:AE43)</f>
        <v>7700</v>
      </c>
      <c r="AF48" s="174"/>
      <c r="AG48" s="189" t="s">
        <v>932</v>
      </c>
      <c r="AH48" s="21"/>
      <c r="AI48" s="116">
        <f>SUM(AI31:AI40)</f>
        <v>-116400</v>
      </c>
    </row>
    <row r="49">
      <c r="E49" s="33" t="s">
        <v>894</v>
      </c>
    </row>
    <row r="50">
      <c r="A50" s="174" t="s">
        <v>972</v>
      </c>
      <c r="C50" s="175" t="s">
        <v>895</v>
      </c>
      <c r="D50" s="82" t="s">
        <v>136</v>
      </c>
      <c r="E50" s="82" t="s">
        <v>896</v>
      </c>
      <c r="F50" s="82" t="s">
        <v>897</v>
      </c>
    </row>
    <row r="51">
      <c r="A51" s="33"/>
      <c r="C51" s="175">
        <f>D51+F51</f>
        <v>58595.37</v>
      </c>
      <c r="D51" s="82">
        <f>31955.37+G63</f>
        <v>58595.37</v>
      </c>
      <c r="E51" s="82">
        <v>0.0</v>
      </c>
      <c r="F51" s="82"/>
    </row>
    <row r="52">
      <c r="A52" s="33" t="s">
        <v>46</v>
      </c>
    </row>
    <row r="54">
      <c r="A54" s="176" t="s">
        <v>898</v>
      </c>
      <c r="B54" s="177"/>
      <c r="C54" s="21"/>
      <c r="E54" s="176" t="s">
        <v>899</v>
      </c>
      <c r="F54" s="177"/>
      <c r="G54" s="21"/>
      <c r="I54" s="176" t="s">
        <v>900</v>
      </c>
      <c r="J54" s="177"/>
      <c r="K54" s="21"/>
      <c r="M54" s="176" t="s">
        <v>0</v>
      </c>
      <c r="N54" s="177"/>
      <c r="O54" s="21"/>
      <c r="Q54" s="176" t="s">
        <v>1</v>
      </c>
      <c r="R54" s="177"/>
      <c r="S54" s="21"/>
      <c r="U54" s="176" t="s">
        <v>44</v>
      </c>
      <c r="V54" s="177"/>
      <c r="W54" s="21"/>
      <c r="Y54" s="176" t="s">
        <v>2</v>
      </c>
      <c r="Z54" s="177"/>
      <c r="AA54" s="21"/>
      <c r="AC54" s="176" t="s">
        <v>901</v>
      </c>
      <c r="AD54" s="177"/>
      <c r="AE54" s="21"/>
      <c r="AF54" s="178"/>
      <c r="AG54" s="176" t="s">
        <v>45</v>
      </c>
      <c r="AH54" s="177"/>
      <c r="AI54" s="21"/>
    </row>
    <row r="55">
      <c r="A55" s="117" t="s">
        <v>99</v>
      </c>
      <c r="B55" s="117" t="s">
        <v>855</v>
      </c>
      <c r="C55" s="117" t="s">
        <v>4</v>
      </c>
      <c r="E55" s="117" t="s">
        <v>99</v>
      </c>
      <c r="F55" s="117" t="s">
        <v>855</v>
      </c>
      <c r="G55" s="117" t="s">
        <v>4</v>
      </c>
      <c r="I55" s="117" t="s">
        <v>99</v>
      </c>
      <c r="J55" s="117" t="s">
        <v>855</v>
      </c>
      <c r="K55" s="117" t="s">
        <v>4</v>
      </c>
      <c r="M55" s="117" t="s">
        <v>99</v>
      </c>
      <c r="N55" s="117" t="s">
        <v>855</v>
      </c>
      <c r="O55" s="117" t="s">
        <v>4</v>
      </c>
      <c r="Q55" s="117" t="s">
        <v>99</v>
      </c>
      <c r="R55" s="117" t="s">
        <v>855</v>
      </c>
      <c r="S55" s="117" t="s">
        <v>4</v>
      </c>
      <c r="U55" s="117" t="s">
        <v>99</v>
      </c>
      <c r="V55" s="117" t="s">
        <v>855</v>
      </c>
      <c r="W55" s="117" t="s">
        <v>4</v>
      </c>
      <c r="Y55" s="117" t="s">
        <v>99</v>
      </c>
      <c r="Z55" s="117" t="s">
        <v>855</v>
      </c>
      <c r="AA55" s="117" t="s">
        <v>4</v>
      </c>
      <c r="AC55" s="117" t="s">
        <v>99</v>
      </c>
      <c r="AD55" s="117" t="s">
        <v>855</v>
      </c>
      <c r="AE55" s="117" t="s">
        <v>4</v>
      </c>
      <c r="AF55" s="179"/>
      <c r="AG55" s="117" t="s">
        <v>99</v>
      </c>
      <c r="AH55" s="117" t="s">
        <v>855</v>
      </c>
      <c r="AI55" s="117" t="s">
        <v>4</v>
      </c>
    </row>
    <row r="56">
      <c r="A56" s="82" t="s">
        <v>902</v>
      </c>
      <c r="B56" s="116"/>
      <c r="C56" s="82">
        <v>129284.02</v>
      </c>
      <c r="E56" s="82" t="s">
        <v>902</v>
      </c>
      <c r="F56" s="116"/>
      <c r="G56" s="82">
        <v>312712.89</v>
      </c>
      <c r="I56" s="180">
        <v>45567.0</v>
      </c>
      <c r="J56" s="82" t="s">
        <v>973</v>
      </c>
      <c r="K56" s="82">
        <v>3000.0</v>
      </c>
      <c r="M56" s="82" t="s">
        <v>902</v>
      </c>
      <c r="N56" s="82"/>
      <c r="O56" s="82">
        <v>-133875.0</v>
      </c>
      <c r="Q56" s="82" t="s">
        <v>902</v>
      </c>
      <c r="R56" s="116"/>
      <c r="S56" s="82">
        <v>0.0</v>
      </c>
      <c r="U56" s="82" t="s">
        <v>902</v>
      </c>
      <c r="V56" s="82"/>
      <c r="W56" s="82">
        <v>-50355.0</v>
      </c>
      <c r="Y56" s="82" t="s">
        <v>902</v>
      </c>
      <c r="Z56" s="82"/>
      <c r="AA56" s="82">
        <v>-9638.0</v>
      </c>
      <c r="AC56" s="82" t="s">
        <v>902</v>
      </c>
      <c r="AD56" s="116"/>
      <c r="AE56" s="82"/>
      <c r="AF56" s="33"/>
      <c r="AG56" s="82" t="s">
        <v>902</v>
      </c>
      <c r="AH56" s="82"/>
      <c r="AI56" s="82"/>
    </row>
    <row r="57">
      <c r="A57" s="180">
        <v>45567.0</v>
      </c>
      <c r="B57" s="82" t="s">
        <v>952</v>
      </c>
      <c r="C57" s="82">
        <v>23436.0</v>
      </c>
      <c r="E57" s="181">
        <v>45566.0</v>
      </c>
      <c r="F57" s="182" t="s">
        <v>908</v>
      </c>
      <c r="G57" s="82">
        <v>-74300.0</v>
      </c>
      <c r="I57" s="180">
        <v>45568.0</v>
      </c>
      <c r="J57" s="82" t="s">
        <v>974</v>
      </c>
      <c r="K57" s="82">
        <v>2650.0</v>
      </c>
      <c r="M57" s="180">
        <v>45569.0</v>
      </c>
      <c r="N57" s="82" t="s">
        <v>975</v>
      </c>
      <c r="O57" s="82">
        <v>-16500.0</v>
      </c>
      <c r="Q57" s="116"/>
      <c r="R57" s="116"/>
      <c r="S57" s="116"/>
      <c r="U57" s="180">
        <v>45567.0</v>
      </c>
      <c r="V57" s="82" t="s">
        <v>976</v>
      </c>
      <c r="W57" s="82">
        <v>-1000.0</v>
      </c>
      <c r="Y57" s="180">
        <v>45582.0</v>
      </c>
      <c r="Z57" s="82" t="s">
        <v>977</v>
      </c>
      <c r="AA57" s="82">
        <v>-1439.0</v>
      </c>
      <c r="AC57" s="180"/>
      <c r="AD57" s="82"/>
      <c r="AE57" s="82"/>
      <c r="AG57" s="180"/>
      <c r="AH57" s="82"/>
      <c r="AI57" s="82"/>
    </row>
    <row r="58">
      <c r="A58" s="180">
        <v>45570.0</v>
      </c>
      <c r="B58" s="192"/>
      <c r="C58" s="82">
        <v>114379.3</v>
      </c>
      <c r="E58" s="181">
        <v>45566.0</v>
      </c>
      <c r="F58" s="82" t="s">
        <v>958</v>
      </c>
      <c r="G58" s="82">
        <v>-200192.0</v>
      </c>
      <c r="I58" s="180">
        <v>45574.0</v>
      </c>
      <c r="J58" s="82" t="s">
        <v>978</v>
      </c>
      <c r="K58" s="82">
        <v>-2300.0</v>
      </c>
      <c r="M58" s="180">
        <v>45576.0</v>
      </c>
      <c r="N58" s="82" t="s">
        <v>975</v>
      </c>
      <c r="O58" s="82">
        <v>16500.0</v>
      </c>
      <c r="Q58" s="116"/>
      <c r="R58" s="116"/>
      <c r="S58" s="116"/>
      <c r="U58" s="180"/>
      <c r="V58" s="82"/>
      <c r="W58" s="82"/>
      <c r="Y58" s="180">
        <v>45584.0</v>
      </c>
      <c r="Z58" s="82" t="s">
        <v>979</v>
      </c>
      <c r="AA58" s="82">
        <v>-400.0</v>
      </c>
      <c r="AC58" s="180"/>
      <c r="AD58" s="82"/>
      <c r="AE58" s="82"/>
      <c r="AF58" s="183"/>
      <c r="AG58" s="181"/>
      <c r="AH58" s="82"/>
      <c r="AI58" s="82"/>
    </row>
    <row r="59">
      <c r="A59" s="180">
        <v>45570.0</v>
      </c>
      <c r="B59" s="82"/>
      <c r="C59" s="82">
        <v>121165.3</v>
      </c>
      <c r="E59" s="181">
        <v>45567.0</v>
      </c>
      <c r="F59" s="182" t="s">
        <v>980</v>
      </c>
      <c r="G59" s="82">
        <v>-1176.0</v>
      </c>
      <c r="I59" s="180">
        <v>45574.0</v>
      </c>
      <c r="J59" s="82" t="s">
        <v>981</v>
      </c>
      <c r="K59" s="82">
        <v>46300.0</v>
      </c>
      <c r="M59" s="116"/>
      <c r="N59" s="116"/>
      <c r="O59" s="116"/>
      <c r="Q59" s="116"/>
      <c r="R59" s="116"/>
      <c r="S59" s="116"/>
      <c r="U59" s="180"/>
      <c r="V59" s="82"/>
      <c r="W59" s="82"/>
      <c r="Y59" s="193">
        <v>45589.0</v>
      </c>
      <c r="Z59" s="82" t="s">
        <v>982</v>
      </c>
      <c r="AA59" s="82">
        <v>-962.0</v>
      </c>
      <c r="AC59" s="116"/>
      <c r="AD59" s="116"/>
      <c r="AE59" s="116"/>
      <c r="AF59" s="184"/>
      <c r="AG59" s="180"/>
      <c r="AH59" s="82"/>
      <c r="AI59" s="82"/>
    </row>
    <row r="60">
      <c r="A60" s="180">
        <v>45572.0</v>
      </c>
      <c r="B60" s="82" t="s">
        <v>983</v>
      </c>
      <c r="C60" s="82">
        <v>-52131.0</v>
      </c>
      <c r="E60" s="181">
        <v>45568.0</v>
      </c>
      <c r="F60" s="182" t="s">
        <v>984</v>
      </c>
      <c r="G60" s="82">
        <v>-2100.0</v>
      </c>
      <c r="I60" s="180">
        <v>45575.0</v>
      </c>
      <c r="J60" s="82" t="s">
        <v>985</v>
      </c>
      <c r="K60" s="82">
        <v>11025.0</v>
      </c>
      <c r="M60" s="116"/>
      <c r="N60" s="116"/>
      <c r="O60" s="116"/>
      <c r="Q60" s="116"/>
      <c r="R60" s="116"/>
      <c r="S60" s="116"/>
      <c r="U60" s="116"/>
      <c r="V60" s="116"/>
      <c r="W60" s="116"/>
      <c r="Y60" s="193">
        <v>45960.0</v>
      </c>
      <c r="Z60" s="82" t="s">
        <v>986</v>
      </c>
      <c r="AA60" s="82">
        <v>-600.0</v>
      </c>
      <c r="AC60" s="116"/>
      <c r="AD60" s="116"/>
      <c r="AE60" s="116"/>
      <c r="AF60" s="184"/>
      <c r="AG60" s="180"/>
      <c r="AH60" s="82"/>
      <c r="AI60" s="82"/>
    </row>
    <row r="61">
      <c r="A61" s="180">
        <v>45572.0</v>
      </c>
      <c r="B61" s="82" t="s">
        <v>987</v>
      </c>
      <c r="C61" s="82">
        <v>-16511.0</v>
      </c>
      <c r="E61" s="181">
        <v>45568.0</v>
      </c>
      <c r="F61" s="82" t="s">
        <v>988</v>
      </c>
      <c r="G61" s="82">
        <v>-1197.0</v>
      </c>
      <c r="I61" s="193">
        <v>45575.0</v>
      </c>
      <c r="J61" s="82" t="s">
        <v>989</v>
      </c>
      <c r="K61" s="82">
        <v>8100.0</v>
      </c>
      <c r="M61" s="116"/>
      <c r="N61" s="116"/>
      <c r="O61" s="116"/>
      <c r="Q61" s="116"/>
      <c r="R61" s="116"/>
      <c r="S61" s="116"/>
      <c r="U61" s="116"/>
      <c r="V61" s="116"/>
      <c r="W61" s="116"/>
      <c r="Y61" s="116"/>
      <c r="Z61" s="116"/>
      <c r="AA61" s="116"/>
      <c r="AC61" s="116"/>
      <c r="AD61" s="116"/>
      <c r="AE61" s="116"/>
      <c r="AF61" s="184"/>
      <c r="AG61" s="180"/>
      <c r="AH61" s="82"/>
      <c r="AI61" s="82"/>
    </row>
    <row r="62">
      <c r="A62" s="180">
        <v>45572.0</v>
      </c>
      <c r="B62" s="82" t="s">
        <v>990</v>
      </c>
      <c r="C62" s="82">
        <v>-50000.0</v>
      </c>
      <c r="E62" s="180">
        <v>45574.0</v>
      </c>
      <c r="F62" s="82" t="s">
        <v>991</v>
      </c>
      <c r="G62" s="82">
        <v>532800.0</v>
      </c>
      <c r="I62" s="193">
        <v>45576.0</v>
      </c>
      <c r="J62" s="82" t="s">
        <v>992</v>
      </c>
      <c r="K62" s="82">
        <v>11750.0</v>
      </c>
      <c r="M62" s="116"/>
      <c r="N62" s="116"/>
      <c r="O62" s="116"/>
      <c r="Q62" s="116"/>
      <c r="R62" s="116"/>
      <c r="S62" s="116"/>
      <c r="U62" s="116"/>
      <c r="V62" s="116"/>
      <c r="W62" s="116"/>
      <c r="Y62" s="116"/>
      <c r="Z62" s="116"/>
      <c r="AA62" s="116"/>
      <c r="AC62" s="116"/>
      <c r="AD62" s="116"/>
      <c r="AE62" s="116"/>
      <c r="AF62" s="184"/>
      <c r="AG62" s="180"/>
      <c r="AH62" s="82"/>
      <c r="AI62" s="82"/>
    </row>
    <row r="63">
      <c r="A63" s="180">
        <v>45572.0</v>
      </c>
      <c r="B63" s="82" t="s">
        <v>993</v>
      </c>
      <c r="C63" s="82">
        <v>-6056.0</v>
      </c>
      <c r="E63" s="180">
        <v>45574.0</v>
      </c>
      <c r="F63" s="82" t="s">
        <v>994</v>
      </c>
      <c r="G63" s="82">
        <v>26640.0</v>
      </c>
      <c r="I63" s="193">
        <v>45576.0</v>
      </c>
      <c r="J63" s="82" t="s">
        <v>995</v>
      </c>
      <c r="K63" s="82">
        <v>5000.0</v>
      </c>
      <c r="M63" s="116"/>
      <c r="N63" s="116"/>
      <c r="O63" s="116"/>
      <c r="Q63" s="116"/>
      <c r="R63" s="116"/>
      <c r="S63" s="116"/>
      <c r="U63" s="116"/>
      <c r="V63" s="116"/>
      <c r="W63" s="116"/>
      <c r="Y63" s="116"/>
      <c r="Z63" s="116"/>
      <c r="AA63" s="116"/>
      <c r="AC63" s="116"/>
      <c r="AD63" s="116"/>
      <c r="AE63" s="116"/>
      <c r="AG63" s="116"/>
      <c r="AH63" s="116"/>
      <c r="AI63" s="116"/>
    </row>
    <row r="64">
      <c r="A64" s="180">
        <v>45573.0</v>
      </c>
      <c r="B64" s="82" t="s">
        <v>952</v>
      </c>
      <c r="C64" s="82">
        <v>50359.0</v>
      </c>
      <c r="E64" s="180">
        <v>45575.0</v>
      </c>
      <c r="F64" s="82" t="s">
        <v>996</v>
      </c>
      <c r="G64" s="82">
        <v>-13320.0</v>
      </c>
      <c r="I64" s="193">
        <v>45576.0</v>
      </c>
      <c r="J64" s="82" t="s">
        <v>997</v>
      </c>
      <c r="K64" s="82">
        <v>900.0</v>
      </c>
      <c r="M64" s="116"/>
      <c r="N64" s="116"/>
      <c r="O64" s="116"/>
      <c r="Q64" s="116"/>
      <c r="R64" s="116"/>
      <c r="S64" s="116"/>
      <c r="U64" s="116"/>
      <c r="V64" s="116"/>
      <c r="W64" s="116"/>
      <c r="Y64" s="116"/>
      <c r="Z64" s="116"/>
      <c r="AA64" s="116"/>
      <c r="AC64" s="116"/>
      <c r="AD64" s="116"/>
      <c r="AE64" s="116"/>
      <c r="AG64" s="116"/>
      <c r="AH64" s="116"/>
      <c r="AI64" s="116"/>
    </row>
    <row r="65">
      <c r="A65" s="180">
        <v>45574.0</v>
      </c>
      <c r="B65" s="82" t="s">
        <v>998</v>
      </c>
      <c r="C65" s="82">
        <v>-3872.0</v>
      </c>
      <c r="E65" s="188">
        <v>45575.0</v>
      </c>
      <c r="F65" s="186" t="s">
        <v>991</v>
      </c>
      <c r="G65" s="187">
        <v>-380064.0</v>
      </c>
      <c r="I65" s="193">
        <v>45576.0</v>
      </c>
      <c r="J65" s="82" t="s">
        <v>999</v>
      </c>
      <c r="K65" s="82">
        <v>-16500.0</v>
      </c>
      <c r="M65" s="116"/>
      <c r="N65" s="116"/>
      <c r="O65" s="116"/>
      <c r="Q65" s="116"/>
      <c r="R65" s="116"/>
      <c r="S65" s="116"/>
      <c r="U65" s="116"/>
      <c r="V65" s="116"/>
      <c r="W65" s="116"/>
      <c r="Y65" s="116"/>
      <c r="Z65" s="116"/>
      <c r="AA65" s="116"/>
      <c r="AC65" s="116"/>
      <c r="AD65" s="116"/>
      <c r="AE65" s="116"/>
      <c r="AG65" s="116"/>
      <c r="AH65" s="116"/>
      <c r="AI65" s="116"/>
    </row>
    <row r="66">
      <c r="A66" s="180">
        <v>45574.0</v>
      </c>
      <c r="B66" s="82" t="s">
        <v>1000</v>
      </c>
      <c r="C66" s="82">
        <v>-207595.5</v>
      </c>
      <c r="E66" s="188">
        <v>45607.0</v>
      </c>
      <c r="F66" s="82" t="s">
        <v>996</v>
      </c>
      <c r="G66" s="187">
        <v>-975.0</v>
      </c>
      <c r="I66" s="193">
        <v>45586.0</v>
      </c>
      <c r="J66" s="82" t="s">
        <v>1001</v>
      </c>
      <c r="K66" s="82">
        <v>-27050.0</v>
      </c>
      <c r="M66" s="116"/>
      <c r="N66" s="116"/>
      <c r="O66" s="116"/>
      <c r="Q66" s="116"/>
      <c r="R66" s="116"/>
      <c r="S66" s="116"/>
      <c r="U66" s="116"/>
      <c r="V66" s="116"/>
      <c r="W66" s="116"/>
      <c r="Y66" s="116"/>
      <c r="Z66" s="116"/>
      <c r="AA66" s="116"/>
      <c r="AC66" s="116"/>
      <c r="AD66" s="116"/>
      <c r="AE66" s="116"/>
      <c r="AG66" s="116"/>
      <c r="AH66" s="116"/>
      <c r="AI66" s="116"/>
    </row>
    <row r="67">
      <c r="A67" s="180">
        <v>45574.0</v>
      </c>
      <c r="B67" s="82" t="s">
        <v>1002</v>
      </c>
      <c r="C67" s="82">
        <v>-900.0</v>
      </c>
      <c r="E67" s="188">
        <v>45580.0</v>
      </c>
      <c r="F67" s="186" t="s">
        <v>1003</v>
      </c>
      <c r="G67" s="187">
        <v>-60000.0</v>
      </c>
      <c r="I67" s="116"/>
      <c r="J67" s="116"/>
      <c r="K67" s="116"/>
      <c r="M67" s="116"/>
      <c r="N67" s="116"/>
      <c r="O67" s="116"/>
      <c r="Q67" s="116"/>
      <c r="R67" s="116"/>
      <c r="S67" s="116"/>
      <c r="U67" s="116"/>
      <c r="V67" s="116"/>
      <c r="W67" s="116"/>
      <c r="Y67" s="116"/>
      <c r="Z67" s="116"/>
      <c r="AA67" s="116"/>
      <c r="AC67" s="116"/>
      <c r="AD67" s="116"/>
      <c r="AE67" s="116"/>
      <c r="AG67" s="116"/>
      <c r="AH67" s="116"/>
      <c r="AI67" s="116"/>
    </row>
    <row r="68">
      <c r="A68" s="180">
        <v>45575.0</v>
      </c>
      <c r="B68" s="82" t="s">
        <v>1004</v>
      </c>
      <c r="C68" s="82">
        <v>-15000.0</v>
      </c>
      <c r="E68" s="188">
        <v>45587.0</v>
      </c>
      <c r="F68" s="186" t="s">
        <v>1005</v>
      </c>
      <c r="G68" s="187">
        <v>-1613.0</v>
      </c>
      <c r="I68" s="116"/>
      <c r="J68" s="116"/>
      <c r="K68" s="116"/>
      <c r="M68" s="116"/>
      <c r="N68" s="116"/>
      <c r="O68" s="116"/>
      <c r="Q68" s="116"/>
      <c r="R68" s="116"/>
      <c r="S68" s="116"/>
      <c r="U68" s="116"/>
      <c r="V68" s="116"/>
      <c r="W68" s="116"/>
      <c r="Y68" s="116"/>
      <c r="Z68" s="116"/>
      <c r="AA68" s="116"/>
      <c r="AC68" s="116"/>
      <c r="AD68" s="116"/>
      <c r="AE68" s="116"/>
      <c r="AG68" s="116"/>
      <c r="AH68" s="116"/>
      <c r="AI68" s="116"/>
    </row>
    <row r="69">
      <c r="A69" s="180">
        <v>45577.0</v>
      </c>
      <c r="B69" s="82" t="s">
        <v>1006</v>
      </c>
      <c r="C69" s="82">
        <v>25307.5</v>
      </c>
      <c r="E69" s="188">
        <v>45587.0</v>
      </c>
      <c r="F69" s="186" t="s">
        <v>1007</v>
      </c>
      <c r="G69" s="187"/>
      <c r="I69" s="116"/>
      <c r="J69" s="116"/>
      <c r="K69" s="116"/>
      <c r="M69" s="116"/>
      <c r="N69" s="116"/>
      <c r="O69" s="116"/>
      <c r="Q69" s="116"/>
      <c r="R69" s="116"/>
      <c r="S69" s="116"/>
      <c r="U69" s="116"/>
      <c r="V69" s="116"/>
      <c r="W69" s="116"/>
      <c r="Y69" s="116"/>
      <c r="Z69" s="116"/>
      <c r="AA69" s="116"/>
      <c r="AC69" s="116"/>
      <c r="AD69" s="116"/>
      <c r="AE69" s="116"/>
      <c r="AG69" s="116"/>
      <c r="AH69" s="116"/>
      <c r="AI69" s="116"/>
    </row>
    <row r="70">
      <c r="A70" s="180">
        <v>45582.0</v>
      </c>
      <c r="B70" s="82" t="s">
        <v>1008</v>
      </c>
      <c r="C70" s="82">
        <v>18036.65</v>
      </c>
      <c r="E70" s="188">
        <v>45587.0</v>
      </c>
      <c r="F70" s="82" t="s">
        <v>1009</v>
      </c>
      <c r="G70" s="187"/>
      <c r="I70" s="116"/>
      <c r="J70" s="116"/>
      <c r="K70" s="116"/>
      <c r="M70" s="116"/>
      <c r="N70" s="116"/>
      <c r="O70" s="116"/>
      <c r="Q70" s="116"/>
      <c r="R70" s="116"/>
      <c r="S70" s="116"/>
      <c r="U70" s="116"/>
      <c r="V70" s="116"/>
      <c r="W70" s="116"/>
      <c r="Y70" s="116"/>
      <c r="Z70" s="116"/>
      <c r="AA70" s="116"/>
      <c r="AC70" s="116"/>
      <c r="AD70" s="116"/>
      <c r="AE70" s="116"/>
      <c r="AG70" s="116"/>
      <c r="AH70" s="116"/>
      <c r="AI70" s="116"/>
    </row>
    <row r="71">
      <c r="A71" s="180">
        <v>45588.0</v>
      </c>
      <c r="B71" s="82" t="s">
        <v>952</v>
      </c>
      <c r="C71" s="82">
        <v>26128.0</v>
      </c>
      <c r="E71" s="185"/>
      <c r="F71" s="186"/>
      <c r="G71" s="187"/>
      <c r="I71" s="116"/>
      <c r="J71" s="116"/>
      <c r="K71" s="116"/>
      <c r="M71" s="116"/>
      <c r="N71" s="116"/>
      <c r="O71" s="116"/>
      <c r="Q71" s="116"/>
      <c r="R71" s="116"/>
      <c r="S71" s="116"/>
      <c r="U71" s="116"/>
      <c r="V71" s="116"/>
      <c r="W71" s="116"/>
      <c r="Y71" s="116"/>
      <c r="Z71" s="116"/>
      <c r="AA71" s="116"/>
      <c r="AC71" s="116"/>
      <c r="AD71" s="116"/>
      <c r="AE71" s="116"/>
      <c r="AG71" s="116"/>
      <c r="AH71" s="116"/>
      <c r="AI71" s="116"/>
    </row>
    <row r="72">
      <c r="A72" s="180">
        <v>45588.0</v>
      </c>
      <c r="B72" s="82" t="s">
        <v>1010</v>
      </c>
      <c r="C72" s="82">
        <v>50000.0</v>
      </c>
      <c r="E72" s="185"/>
      <c r="F72" s="186"/>
      <c r="G72" s="187"/>
      <c r="I72" s="116"/>
      <c r="J72" s="116"/>
      <c r="K72" s="116"/>
      <c r="M72" s="116"/>
      <c r="N72" s="116"/>
      <c r="O72" s="116"/>
      <c r="Q72" s="116"/>
      <c r="R72" s="116"/>
      <c r="S72" s="116"/>
      <c r="U72" s="116"/>
      <c r="V72" s="116"/>
      <c r="W72" s="116"/>
      <c r="Y72" s="116"/>
      <c r="Z72" s="116"/>
      <c r="AA72" s="116"/>
      <c r="AC72" s="116"/>
      <c r="AD72" s="116"/>
      <c r="AE72" s="116"/>
      <c r="AG72" s="116"/>
      <c r="AH72" s="116"/>
      <c r="AI72" s="116"/>
    </row>
    <row r="73">
      <c r="A73" s="180">
        <v>45589.0</v>
      </c>
      <c r="B73" s="82" t="s">
        <v>942</v>
      </c>
      <c r="C73" s="82">
        <v>-22400.0</v>
      </c>
      <c r="E73" s="185"/>
      <c r="F73" s="186"/>
      <c r="G73" s="187"/>
      <c r="I73" s="116"/>
      <c r="J73" s="116"/>
      <c r="K73" s="116"/>
      <c r="M73" s="116"/>
      <c r="N73" s="116"/>
      <c r="O73" s="116"/>
      <c r="Q73" s="116"/>
      <c r="R73" s="116"/>
      <c r="S73" s="116"/>
      <c r="U73" s="116"/>
      <c r="V73" s="116"/>
      <c r="W73" s="116"/>
      <c r="Y73" s="116"/>
      <c r="Z73" s="116"/>
      <c r="AA73" s="116"/>
      <c r="AC73" s="116"/>
      <c r="AD73" s="116"/>
      <c r="AE73" s="116"/>
      <c r="AG73" s="116"/>
      <c r="AH73" s="116"/>
      <c r="AI73" s="116"/>
    </row>
    <row r="74">
      <c r="A74" s="180">
        <v>45589.0</v>
      </c>
      <c r="B74" s="82" t="s">
        <v>1011</v>
      </c>
      <c r="C74" s="82">
        <v>-146063.0</v>
      </c>
      <c r="E74" s="185"/>
      <c r="F74" s="186"/>
      <c r="G74" s="187"/>
      <c r="I74" s="116"/>
      <c r="J74" s="116"/>
      <c r="K74" s="116"/>
      <c r="M74" s="116"/>
      <c r="N74" s="116"/>
      <c r="O74" s="116"/>
      <c r="Q74" s="116"/>
      <c r="R74" s="116"/>
      <c r="S74" s="116"/>
      <c r="U74" s="116"/>
      <c r="V74" s="116"/>
      <c r="W74" s="116"/>
      <c r="Y74" s="116"/>
      <c r="Z74" s="116"/>
      <c r="AA74" s="116"/>
      <c r="AC74" s="116"/>
      <c r="AD74" s="116"/>
      <c r="AE74" s="116"/>
      <c r="AG74" s="116"/>
      <c r="AH74" s="116"/>
      <c r="AI74" s="116"/>
    </row>
    <row r="75">
      <c r="A75" s="180">
        <v>45590.0</v>
      </c>
      <c r="B75" s="82" t="s">
        <v>1012</v>
      </c>
      <c r="C75" s="82">
        <v>2000.0</v>
      </c>
      <c r="E75" s="185"/>
      <c r="F75" s="186"/>
      <c r="G75" s="187"/>
      <c r="I75" s="116"/>
      <c r="J75" s="116"/>
      <c r="K75" s="116"/>
      <c r="M75" s="116"/>
      <c r="N75" s="116"/>
      <c r="O75" s="116"/>
      <c r="Q75" s="116"/>
      <c r="R75" s="116"/>
      <c r="S75" s="116"/>
      <c r="U75" s="116"/>
      <c r="V75" s="116"/>
      <c r="W75" s="116"/>
      <c r="Y75" s="116"/>
      <c r="Z75" s="116"/>
      <c r="AA75" s="116"/>
      <c r="AC75" s="116"/>
      <c r="AD75" s="116"/>
      <c r="AE75" s="116"/>
      <c r="AG75" s="116"/>
      <c r="AH75" s="116"/>
      <c r="AI75" s="116"/>
    </row>
    <row r="76">
      <c r="A76" s="180">
        <v>45594.0</v>
      </c>
      <c r="B76" s="82" t="s">
        <v>948</v>
      </c>
      <c r="C76" s="82">
        <v>-1050.0</v>
      </c>
      <c r="E76" s="185"/>
      <c r="F76" s="186"/>
      <c r="G76" s="187"/>
      <c r="I76" s="116"/>
      <c r="J76" s="116"/>
      <c r="K76" s="116"/>
      <c r="M76" s="116"/>
      <c r="N76" s="116"/>
      <c r="O76" s="116"/>
      <c r="Q76" s="116"/>
      <c r="R76" s="116"/>
      <c r="S76" s="116"/>
      <c r="U76" s="116"/>
      <c r="V76" s="116"/>
      <c r="W76" s="116"/>
      <c r="Y76" s="116"/>
      <c r="Z76" s="116"/>
      <c r="AA76" s="116"/>
      <c r="AC76" s="116"/>
      <c r="AD76" s="116"/>
      <c r="AE76" s="116"/>
      <c r="AG76" s="116"/>
      <c r="AH76" s="116"/>
      <c r="AI76" s="116"/>
    </row>
    <row r="77">
      <c r="A77" s="180">
        <v>45594.0</v>
      </c>
      <c r="B77" s="82" t="s">
        <v>942</v>
      </c>
      <c r="C77" s="82">
        <v>-3990.0</v>
      </c>
      <c r="E77" s="185"/>
      <c r="F77" s="186"/>
      <c r="G77" s="187"/>
      <c r="I77" s="116"/>
      <c r="J77" s="116"/>
      <c r="K77" s="116"/>
      <c r="M77" s="116"/>
      <c r="N77" s="116"/>
      <c r="O77" s="116"/>
      <c r="Q77" s="116"/>
      <c r="R77" s="116"/>
      <c r="S77" s="116"/>
      <c r="U77" s="116"/>
      <c r="V77" s="116"/>
      <c r="W77" s="116"/>
      <c r="Y77" s="116"/>
      <c r="Z77" s="116"/>
      <c r="AA77" s="116"/>
      <c r="AC77" s="116"/>
      <c r="AD77" s="116"/>
      <c r="AE77" s="116"/>
      <c r="AG77" s="116"/>
      <c r="AH77" s="116"/>
      <c r="AI77" s="116"/>
    </row>
    <row r="78">
      <c r="A78" s="180">
        <v>45594.0</v>
      </c>
      <c r="B78" s="82" t="s">
        <v>1013</v>
      </c>
      <c r="C78" s="82">
        <v>220835.0</v>
      </c>
      <c r="E78" s="185"/>
      <c r="F78" s="186"/>
      <c r="G78" s="187"/>
      <c r="I78" s="116"/>
      <c r="J78" s="116"/>
      <c r="K78" s="116"/>
      <c r="M78" s="116"/>
      <c r="N78" s="116"/>
      <c r="O78" s="116"/>
      <c r="Q78" s="116"/>
      <c r="R78" s="116"/>
      <c r="S78" s="116"/>
      <c r="U78" s="116"/>
      <c r="V78" s="116"/>
      <c r="W78" s="116"/>
      <c r="Y78" s="116"/>
      <c r="Z78" s="116"/>
      <c r="AA78" s="116"/>
      <c r="AC78" s="116"/>
      <c r="AD78" s="116"/>
      <c r="AE78" s="116"/>
      <c r="AG78" s="116"/>
      <c r="AH78" s="116"/>
      <c r="AI78" s="116"/>
    </row>
    <row r="79">
      <c r="A79" s="180">
        <v>45595.0</v>
      </c>
      <c r="B79" s="82" t="s">
        <v>1010</v>
      </c>
      <c r="C79" s="82">
        <v>100000.0</v>
      </c>
      <c r="E79" s="185"/>
      <c r="F79" s="186"/>
      <c r="G79" s="187"/>
      <c r="I79" s="116"/>
      <c r="J79" s="116"/>
      <c r="K79" s="116"/>
      <c r="M79" s="116"/>
      <c r="N79" s="116"/>
      <c r="O79" s="116"/>
      <c r="Q79" s="116"/>
      <c r="R79" s="116"/>
      <c r="S79" s="116"/>
      <c r="U79" s="116"/>
      <c r="V79" s="116"/>
      <c r="W79" s="116"/>
      <c r="Y79" s="116"/>
      <c r="Z79" s="116"/>
      <c r="AA79" s="116"/>
      <c r="AC79" s="116"/>
      <c r="AD79" s="116"/>
      <c r="AE79" s="116"/>
      <c r="AG79" s="116"/>
      <c r="AH79" s="116"/>
      <c r="AI79" s="116"/>
    </row>
    <row r="80">
      <c r="A80" s="180">
        <v>45596.0</v>
      </c>
      <c r="B80" s="82" t="s">
        <v>952</v>
      </c>
      <c r="C80" s="82">
        <v>24345.0</v>
      </c>
      <c r="E80" s="185"/>
      <c r="F80" s="186"/>
      <c r="G80" s="187"/>
      <c r="I80" s="116"/>
      <c r="J80" s="116"/>
      <c r="K80" s="116"/>
      <c r="M80" s="116"/>
      <c r="N80" s="116"/>
      <c r="O80" s="116"/>
      <c r="Q80" s="116"/>
      <c r="R80" s="116"/>
      <c r="S80" s="116"/>
      <c r="U80" s="116"/>
      <c r="V80" s="116"/>
      <c r="W80" s="116"/>
      <c r="Y80" s="116"/>
      <c r="Z80" s="116"/>
      <c r="AA80" s="116"/>
      <c r="AC80" s="116"/>
      <c r="AD80" s="116"/>
      <c r="AE80" s="116"/>
      <c r="AG80" s="116"/>
      <c r="AH80" s="116"/>
      <c r="AI80" s="116"/>
    </row>
    <row r="81">
      <c r="A81" s="180"/>
      <c r="B81" s="82"/>
      <c r="C81" s="82"/>
      <c r="E81" s="185"/>
      <c r="F81" s="186"/>
      <c r="G81" s="187"/>
      <c r="I81" s="116"/>
      <c r="J81" s="116"/>
      <c r="K81" s="116"/>
      <c r="M81" s="116"/>
      <c r="N81" s="116"/>
      <c r="O81" s="116"/>
      <c r="Q81" s="116"/>
      <c r="R81" s="116"/>
      <c r="S81" s="116"/>
      <c r="U81" s="116"/>
      <c r="V81" s="116"/>
      <c r="W81" s="116"/>
      <c r="Y81" s="116"/>
      <c r="Z81" s="116"/>
      <c r="AA81" s="116"/>
      <c r="AC81" s="116"/>
      <c r="AD81" s="116"/>
      <c r="AE81" s="116"/>
      <c r="AG81" s="116"/>
      <c r="AH81" s="116"/>
      <c r="AI81" s="116"/>
    </row>
    <row r="82">
      <c r="A82" s="189" t="s">
        <v>932</v>
      </c>
      <c r="B82" s="21"/>
      <c r="C82" s="116">
        <f>SUM(C56:C81)</f>
        <v>379707.27</v>
      </c>
      <c r="E82" s="189" t="s">
        <v>932</v>
      </c>
      <c r="F82" s="21"/>
      <c r="G82" s="116">
        <f>SUM(G56:G68)</f>
        <v>137215.89</v>
      </c>
      <c r="I82" s="189" t="s">
        <v>932</v>
      </c>
      <c r="J82" s="21"/>
      <c r="K82" s="116">
        <f>SUM(K56:K72)</f>
        <v>42875</v>
      </c>
      <c r="M82" s="189" t="s">
        <v>932</v>
      </c>
      <c r="N82" s="21"/>
      <c r="O82" s="116">
        <f>SUM(O56:O65)</f>
        <v>-133875</v>
      </c>
      <c r="Q82" s="189" t="s">
        <v>932</v>
      </c>
      <c r="R82" s="21"/>
      <c r="S82" s="116"/>
      <c r="U82" s="189" t="s">
        <v>932</v>
      </c>
      <c r="V82" s="21"/>
      <c r="W82" s="116">
        <f>SUM(W56:W68)</f>
        <v>-51355</v>
      </c>
      <c r="Y82" s="189" t="s">
        <v>932</v>
      </c>
      <c r="Z82" s="21"/>
      <c r="AA82" s="116">
        <f>SUM(AA56:AA67)</f>
        <v>-13039</v>
      </c>
      <c r="AC82" s="189" t="s">
        <v>932</v>
      </c>
      <c r="AD82" s="21"/>
      <c r="AE82" s="116">
        <f>SUM(AE56:AE68)</f>
        <v>0</v>
      </c>
      <c r="AF82" s="174"/>
      <c r="AG82" s="189" t="s">
        <v>932</v>
      </c>
      <c r="AH82" s="21"/>
      <c r="AI82" s="116">
        <f>SUM(AI56:AI65)</f>
        <v>0</v>
      </c>
    </row>
    <row r="84">
      <c r="A84" s="174" t="s">
        <v>1014</v>
      </c>
      <c r="C84" s="175" t="s">
        <v>895</v>
      </c>
      <c r="D84" s="82" t="s">
        <v>136</v>
      </c>
      <c r="E84" s="82" t="s">
        <v>896</v>
      </c>
      <c r="F84" s="82" t="s">
        <v>897</v>
      </c>
    </row>
    <row r="85">
      <c r="A85" s="33"/>
      <c r="C85" s="175"/>
      <c r="D85" s="82"/>
      <c r="E85" s="82">
        <v>0.0</v>
      </c>
      <c r="F85" s="82"/>
    </row>
    <row r="86">
      <c r="A86" s="33" t="s">
        <v>46</v>
      </c>
    </row>
    <row r="88">
      <c r="A88" s="176" t="s">
        <v>898</v>
      </c>
      <c r="B88" s="177"/>
      <c r="C88" s="21"/>
      <c r="E88" s="176" t="s">
        <v>899</v>
      </c>
      <c r="F88" s="177"/>
      <c r="G88" s="21"/>
      <c r="I88" s="176" t="s">
        <v>900</v>
      </c>
      <c r="J88" s="177"/>
      <c r="K88" s="21"/>
      <c r="M88" s="176" t="s">
        <v>0</v>
      </c>
      <c r="N88" s="177"/>
      <c r="O88" s="21"/>
      <c r="Q88" s="176" t="s">
        <v>1</v>
      </c>
      <c r="R88" s="177"/>
      <c r="S88" s="21"/>
      <c r="U88" s="176" t="s">
        <v>44</v>
      </c>
      <c r="V88" s="177"/>
      <c r="W88" s="21"/>
      <c r="Y88" s="176" t="s">
        <v>2</v>
      </c>
      <c r="Z88" s="177"/>
      <c r="AA88" s="21"/>
      <c r="AC88" s="176" t="s">
        <v>901</v>
      </c>
      <c r="AD88" s="177"/>
      <c r="AE88" s="21"/>
      <c r="AF88" s="178"/>
      <c r="AG88" s="176" t="s">
        <v>45</v>
      </c>
      <c r="AH88" s="177"/>
      <c r="AI88" s="21"/>
    </row>
    <row r="89">
      <c r="A89" s="117" t="s">
        <v>99</v>
      </c>
      <c r="B89" s="117" t="s">
        <v>855</v>
      </c>
      <c r="C89" s="117" t="s">
        <v>4</v>
      </c>
      <c r="E89" s="117" t="s">
        <v>99</v>
      </c>
      <c r="F89" s="117" t="s">
        <v>855</v>
      </c>
      <c r="G89" s="117" t="s">
        <v>4</v>
      </c>
      <c r="I89" s="117" t="s">
        <v>99</v>
      </c>
      <c r="J89" s="117" t="s">
        <v>855</v>
      </c>
      <c r="K89" s="117" t="s">
        <v>4</v>
      </c>
      <c r="M89" s="117" t="s">
        <v>99</v>
      </c>
      <c r="N89" s="117" t="s">
        <v>855</v>
      </c>
      <c r="O89" s="117" t="s">
        <v>4</v>
      </c>
      <c r="Q89" s="117" t="s">
        <v>99</v>
      </c>
      <c r="R89" s="117" t="s">
        <v>855</v>
      </c>
      <c r="S89" s="117" t="s">
        <v>4</v>
      </c>
      <c r="U89" s="117" t="s">
        <v>99</v>
      </c>
      <c r="V89" s="117" t="s">
        <v>855</v>
      </c>
      <c r="W89" s="117" t="s">
        <v>4</v>
      </c>
      <c r="Y89" s="117" t="s">
        <v>99</v>
      </c>
      <c r="Z89" s="117" t="s">
        <v>855</v>
      </c>
      <c r="AA89" s="117" t="s">
        <v>4</v>
      </c>
      <c r="AC89" s="117" t="s">
        <v>99</v>
      </c>
      <c r="AD89" s="117" t="s">
        <v>855</v>
      </c>
      <c r="AE89" s="117" t="s">
        <v>4</v>
      </c>
      <c r="AF89" s="179"/>
      <c r="AG89" s="117" t="s">
        <v>99</v>
      </c>
      <c r="AH89" s="117" t="s">
        <v>855</v>
      </c>
      <c r="AI89" s="117" t="s">
        <v>4</v>
      </c>
    </row>
    <row r="90">
      <c r="A90" s="82" t="s">
        <v>902</v>
      </c>
      <c r="B90" s="116"/>
      <c r="C90" s="82">
        <v>129284.02</v>
      </c>
      <c r="E90" s="82" t="s">
        <v>902</v>
      </c>
      <c r="F90" s="116"/>
      <c r="G90" s="82"/>
      <c r="I90" s="180"/>
      <c r="J90" s="82"/>
      <c r="K90" s="82"/>
      <c r="M90" s="82" t="s">
        <v>902</v>
      </c>
      <c r="N90" s="82"/>
      <c r="O90" s="82">
        <v>-133875.0</v>
      </c>
      <c r="Q90" s="82" t="s">
        <v>902</v>
      </c>
      <c r="R90" s="116"/>
      <c r="S90" s="82">
        <v>0.0</v>
      </c>
      <c r="U90" s="82" t="s">
        <v>902</v>
      </c>
      <c r="V90" s="82"/>
      <c r="W90" s="82">
        <v>-51355.0</v>
      </c>
      <c r="Y90" s="82" t="s">
        <v>902</v>
      </c>
      <c r="Z90" s="82"/>
      <c r="AA90" s="82">
        <v>-13039.0</v>
      </c>
      <c r="AC90" s="82" t="s">
        <v>902</v>
      </c>
      <c r="AD90" s="116"/>
      <c r="AE90" s="82"/>
      <c r="AF90" s="33"/>
      <c r="AG90" s="82" t="s">
        <v>902</v>
      </c>
      <c r="AH90" s="82"/>
      <c r="AI90" s="82"/>
    </row>
    <row r="91">
      <c r="A91" s="180"/>
      <c r="B91" s="82"/>
      <c r="C91" s="82"/>
      <c r="E91" s="181"/>
      <c r="F91" s="182"/>
      <c r="G91" s="82"/>
      <c r="I91" s="180"/>
      <c r="J91" s="82"/>
      <c r="K91" s="82"/>
      <c r="M91" s="180"/>
      <c r="N91" s="82"/>
      <c r="O91" s="82"/>
      <c r="Q91" s="116"/>
      <c r="R91" s="116"/>
      <c r="S91" s="116"/>
      <c r="U91" s="180"/>
      <c r="V91" s="82"/>
      <c r="W91" s="82"/>
      <c r="Y91" s="180">
        <v>45985.0</v>
      </c>
      <c r="Z91" s="82" t="s">
        <v>1015</v>
      </c>
      <c r="AA91" s="82">
        <v>-400.0</v>
      </c>
      <c r="AC91" s="180"/>
      <c r="AD91" s="82"/>
      <c r="AE91" s="82"/>
      <c r="AG91" s="180"/>
      <c r="AH91" s="82"/>
      <c r="AI91" s="82"/>
    </row>
    <row r="92">
      <c r="A92" s="180"/>
      <c r="B92" s="192"/>
      <c r="C92" s="82"/>
      <c r="E92" s="181"/>
      <c r="F92" s="82"/>
      <c r="G92" s="82"/>
      <c r="I92" s="180"/>
      <c r="J92" s="82"/>
      <c r="K92" s="82"/>
      <c r="M92" s="180"/>
      <c r="N92" s="82"/>
      <c r="O92" s="82"/>
      <c r="Q92" s="116"/>
      <c r="R92" s="116"/>
      <c r="S92" s="116"/>
      <c r="U92" s="180"/>
      <c r="V92" s="82"/>
      <c r="W92" s="82"/>
      <c r="Y92" s="180"/>
      <c r="Z92" s="82"/>
      <c r="AA92" s="82"/>
      <c r="AC92" s="180"/>
      <c r="AD92" s="82"/>
      <c r="AE92" s="82"/>
      <c r="AF92" s="183"/>
      <c r="AG92" s="181"/>
      <c r="AH92" s="82"/>
      <c r="AI92" s="82"/>
    </row>
    <row r="93">
      <c r="A93" s="180"/>
      <c r="B93" s="82"/>
      <c r="C93" s="82"/>
      <c r="E93" s="181"/>
      <c r="F93" s="182"/>
      <c r="G93" s="82"/>
      <c r="I93" s="180"/>
      <c r="J93" s="82"/>
      <c r="K93" s="82"/>
      <c r="M93" s="116"/>
      <c r="N93" s="116"/>
      <c r="O93" s="116"/>
      <c r="Q93" s="116"/>
      <c r="R93" s="116"/>
      <c r="S93" s="116"/>
      <c r="U93" s="180"/>
      <c r="V93" s="82"/>
      <c r="W93" s="82"/>
      <c r="Y93" s="193"/>
      <c r="Z93" s="82"/>
      <c r="AA93" s="82"/>
      <c r="AC93" s="116"/>
      <c r="AD93" s="116"/>
      <c r="AE93" s="116"/>
      <c r="AF93" s="184"/>
      <c r="AG93" s="180"/>
      <c r="AH93" s="82"/>
      <c r="AI93" s="82"/>
    </row>
    <row r="94">
      <c r="A94" s="180"/>
      <c r="B94" s="82"/>
      <c r="C94" s="82"/>
      <c r="E94" s="181"/>
      <c r="F94" s="182"/>
      <c r="G94" s="82"/>
      <c r="I94" s="180"/>
      <c r="J94" s="82"/>
      <c r="K94" s="82"/>
      <c r="M94" s="116"/>
      <c r="N94" s="116"/>
      <c r="O94" s="116"/>
      <c r="Q94" s="116"/>
      <c r="R94" s="116"/>
      <c r="S94" s="116"/>
      <c r="U94" s="116"/>
      <c r="V94" s="116"/>
      <c r="W94" s="116"/>
      <c r="Y94" s="82"/>
      <c r="Z94" s="82"/>
      <c r="AA94" s="82"/>
      <c r="AC94" s="116"/>
      <c r="AD94" s="116"/>
      <c r="AE94" s="116"/>
      <c r="AF94" s="184"/>
      <c r="AG94" s="180"/>
      <c r="AH94" s="82"/>
      <c r="AI94" s="82"/>
    </row>
    <row r="95">
      <c r="A95" s="180"/>
      <c r="B95" s="82"/>
      <c r="C95" s="82"/>
      <c r="E95" s="181"/>
      <c r="F95" s="82"/>
      <c r="G95" s="82"/>
      <c r="I95" s="193"/>
      <c r="J95" s="82"/>
      <c r="K95" s="82"/>
      <c r="M95" s="116"/>
      <c r="N95" s="116"/>
      <c r="O95" s="116"/>
      <c r="Q95" s="116"/>
      <c r="R95" s="116"/>
      <c r="S95" s="116"/>
      <c r="U95" s="116"/>
      <c r="V95" s="116"/>
      <c r="W95" s="116"/>
      <c r="Y95" s="116"/>
      <c r="Z95" s="116"/>
      <c r="AA95" s="116"/>
      <c r="AC95" s="116"/>
      <c r="AD95" s="116"/>
      <c r="AE95" s="116"/>
      <c r="AF95" s="184"/>
      <c r="AG95" s="180"/>
      <c r="AH95" s="82"/>
      <c r="AI95" s="82"/>
    </row>
    <row r="96">
      <c r="A96" s="180"/>
      <c r="B96" s="82"/>
      <c r="C96" s="82"/>
      <c r="E96" s="180"/>
      <c r="F96" s="82"/>
      <c r="G96" s="82"/>
      <c r="I96" s="193"/>
      <c r="J96" s="82"/>
      <c r="K96" s="82"/>
      <c r="M96" s="116"/>
      <c r="N96" s="116"/>
      <c r="O96" s="116"/>
      <c r="Q96" s="116"/>
      <c r="R96" s="116"/>
      <c r="S96" s="116"/>
      <c r="U96" s="116"/>
      <c r="V96" s="116"/>
      <c r="W96" s="116"/>
      <c r="Y96" s="116"/>
      <c r="Z96" s="116"/>
      <c r="AA96" s="116"/>
      <c r="AC96" s="116"/>
      <c r="AD96" s="116"/>
      <c r="AE96" s="116"/>
      <c r="AF96" s="184"/>
      <c r="AG96" s="180"/>
      <c r="AH96" s="82"/>
      <c r="AI96" s="82"/>
    </row>
    <row r="97">
      <c r="A97" s="180"/>
      <c r="B97" s="82"/>
      <c r="C97" s="82"/>
      <c r="E97" s="180"/>
      <c r="F97" s="82"/>
      <c r="G97" s="82"/>
      <c r="I97" s="193"/>
      <c r="J97" s="82"/>
      <c r="K97" s="82"/>
      <c r="M97" s="116"/>
      <c r="N97" s="116"/>
      <c r="O97" s="116"/>
      <c r="Q97" s="116"/>
      <c r="R97" s="116"/>
      <c r="S97" s="116"/>
      <c r="U97" s="116"/>
      <c r="V97" s="116"/>
      <c r="W97" s="116"/>
      <c r="Y97" s="116"/>
      <c r="Z97" s="116"/>
      <c r="AA97" s="116"/>
      <c r="AC97" s="116"/>
      <c r="AD97" s="116"/>
      <c r="AE97" s="116"/>
      <c r="AG97" s="116"/>
      <c r="AH97" s="116"/>
      <c r="AI97" s="116"/>
    </row>
    <row r="98">
      <c r="A98" s="180"/>
      <c r="B98" s="82"/>
      <c r="C98" s="82"/>
      <c r="E98" s="180"/>
      <c r="F98" s="82"/>
      <c r="G98" s="82"/>
      <c r="I98" s="193"/>
      <c r="J98" s="82"/>
      <c r="K98" s="82"/>
      <c r="M98" s="116"/>
      <c r="N98" s="116"/>
      <c r="O98" s="116"/>
      <c r="Q98" s="116"/>
      <c r="R98" s="116"/>
      <c r="S98" s="116"/>
      <c r="U98" s="116"/>
      <c r="V98" s="116"/>
      <c r="W98" s="116"/>
      <c r="Y98" s="116"/>
      <c r="Z98" s="116"/>
      <c r="AA98" s="116"/>
      <c r="AC98" s="116"/>
      <c r="AD98" s="116"/>
      <c r="AE98" s="116"/>
      <c r="AG98" s="116"/>
      <c r="AH98" s="116"/>
      <c r="AI98" s="116"/>
    </row>
    <row r="99">
      <c r="A99" s="180"/>
      <c r="B99" s="82"/>
      <c r="C99" s="82"/>
      <c r="E99" s="188"/>
      <c r="F99" s="186"/>
      <c r="G99" s="187"/>
      <c r="I99" s="193"/>
      <c r="J99" s="82"/>
      <c r="K99" s="82"/>
      <c r="M99" s="116"/>
      <c r="N99" s="116"/>
      <c r="O99" s="116"/>
      <c r="Q99" s="116"/>
      <c r="R99" s="116"/>
      <c r="S99" s="116"/>
      <c r="U99" s="116"/>
      <c r="V99" s="116"/>
      <c r="W99" s="116"/>
      <c r="Y99" s="116"/>
      <c r="Z99" s="116"/>
      <c r="AA99" s="116"/>
      <c r="AC99" s="116"/>
      <c r="AD99" s="116"/>
      <c r="AE99" s="116"/>
      <c r="AG99" s="116"/>
      <c r="AH99" s="116"/>
      <c r="AI99" s="116"/>
    </row>
    <row r="100">
      <c r="A100" s="180"/>
      <c r="B100" s="82"/>
      <c r="C100" s="82"/>
      <c r="E100" s="188"/>
      <c r="F100" s="82"/>
      <c r="G100" s="187"/>
      <c r="I100" s="193"/>
      <c r="J100" s="82"/>
      <c r="K100" s="82"/>
      <c r="M100" s="116"/>
      <c r="N100" s="116"/>
      <c r="O100" s="116"/>
      <c r="Q100" s="116"/>
      <c r="R100" s="116"/>
      <c r="S100" s="116"/>
      <c r="U100" s="116"/>
      <c r="V100" s="116"/>
      <c r="W100" s="116"/>
      <c r="Y100" s="116"/>
      <c r="Z100" s="116"/>
      <c r="AA100" s="116"/>
      <c r="AC100" s="116"/>
      <c r="AD100" s="116"/>
      <c r="AE100" s="116"/>
      <c r="AG100" s="116"/>
      <c r="AH100" s="116"/>
      <c r="AI100" s="116"/>
    </row>
    <row r="101">
      <c r="A101" s="180"/>
      <c r="B101" s="82"/>
      <c r="C101" s="82"/>
      <c r="E101" s="188"/>
      <c r="F101" s="186"/>
      <c r="G101" s="187"/>
      <c r="I101" s="116"/>
      <c r="J101" s="116"/>
      <c r="K101" s="116"/>
      <c r="M101" s="116"/>
      <c r="N101" s="116"/>
      <c r="O101" s="116"/>
      <c r="Q101" s="116"/>
      <c r="R101" s="116"/>
      <c r="S101" s="116"/>
      <c r="U101" s="116"/>
      <c r="V101" s="116"/>
      <c r="W101" s="116"/>
      <c r="Y101" s="116"/>
      <c r="Z101" s="116"/>
      <c r="AA101" s="116"/>
      <c r="AC101" s="116"/>
      <c r="AD101" s="116"/>
      <c r="AE101" s="116"/>
      <c r="AG101" s="116"/>
      <c r="AH101" s="116"/>
      <c r="AI101" s="116"/>
    </row>
    <row r="102">
      <c r="A102" s="180"/>
      <c r="B102" s="82"/>
      <c r="C102" s="82"/>
      <c r="E102" s="188"/>
      <c r="F102" s="186"/>
      <c r="G102" s="187"/>
      <c r="I102" s="116"/>
      <c r="J102" s="116"/>
      <c r="K102" s="116"/>
      <c r="M102" s="116"/>
      <c r="N102" s="116"/>
      <c r="O102" s="116"/>
      <c r="Q102" s="116"/>
      <c r="R102" s="116"/>
      <c r="S102" s="116"/>
      <c r="U102" s="116"/>
      <c r="V102" s="116"/>
      <c r="W102" s="116"/>
      <c r="Y102" s="116"/>
      <c r="Z102" s="116"/>
      <c r="AA102" s="116"/>
      <c r="AC102" s="116"/>
      <c r="AD102" s="116"/>
      <c r="AE102" s="116"/>
      <c r="AG102" s="116"/>
      <c r="AH102" s="116"/>
      <c r="AI102" s="116"/>
    </row>
    <row r="103">
      <c r="A103" s="180"/>
      <c r="B103" s="82"/>
      <c r="C103" s="82"/>
      <c r="E103" s="188"/>
      <c r="F103" s="186"/>
      <c r="G103" s="187"/>
      <c r="I103" s="116"/>
      <c r="J103" s="116"/>
      <c r="K103" s="116"/>
      <c r="M103" s="116"/>
      <c r="N103" s="116"/>
      <c r="O103" s="116"/>
      <c r="Q103" s="116"/>
      <c r="R103" s="116"/>
      <c r="S103" s="116"/>
      <c r="U103" s="116"/>
      <c r="V103" s="116"/>
      <c r="W103" s="116"/>
      <c r="Y103" s="116"/>
      <c r="Z103" s="116"/>
      <c r="AA103" s="116"/>
      <c r="AC103" s="116"/>
      <c r="AD103" s="116"/>
      <c r="AE103" s="116"/>
      <c r="AG103" s="116"/>
      <c r="AH103" s="116"/>
      <c r="AI103" s="116"/>
    </row>
    <row r="104">
      <c r="A104" s="180"/>
      <c r="B104" s="82"/>
      <c r="C104" s="82"/>
      <c r="E104" s="188"/>
      <c r="F104" s="82"/>
      <c r="G104" s="187"/>
      <c r="I104" s="116"/>
      <c r="J104" s="116"/>
      <c r="K104" s="116"/>
      <c r="M104" s="116"/>
      <c r="N104" s="116"/>
      <c r="O104" s="116"/>
      <c r="Q104" s="116"/>
      <c r="R104" s="116"/>
      <c r="S104" s="116"/>
      <c r="U104" s="116"/>
      <c r="V104" s="116"/>
      <c r="W104" s="116"/>
      <c r="Y104" s="116"/>
      <c r="Z104" s="116"/>
      <c r="AA104" s="116"/>
      <c r="AC104" s="116"/>
      <c r="AD104" s="116"/>
      <c r="AE104" s="116"/>
      <c r="AG104" s="116"/>
      <c r="AH104" s="116"/>
      <c r="AI104" s="116"/>
    </row>
    <row r="105">
      <c r="A105" s="180"/>
      <c r="B105" s="82"/>
      <c r="C105" s="82"/>
      <c r="E105" s="185"/>
      <c r="F105" s="186"/>
      <c r="G105" s="187"/>
      <c r="I105" s="116"/>
      <c r="J105" s="116"/>
      <c r="K105" s="116"/>
      <c r="M105" s="116"/>
      <c r="N105" s="116"/>
      <c r="O105" s="116"/>
      <c r="Q105" s="116"/>
      <c r="R105" s="116"/>
      <c r="S105" s="116"/>
      <c r="U105" s="116"/>
      <c r="V105" s="116"/>
      <c r="W105" s="116"/>
      <c r="Y105" s="116"/>
      <c r="Z105" s="116"/>
      <c r="AA105" s="116"/>
      <c r="AC105" s="116"/>
      <c r="AD105" s="116"/>
      <c r="AE105" s="116"/>
      <c r="AG105" s="116"/>
      <c r="AH105" s="116"/>
      <c r="AI105" s="116"/>
    </row>
    <row r="106">
      <c r="A106" s="180"/>
      <c r="B106" s="82"/>
      <c r="C106" s="82"/>
      <c r="E106" s="185"/>
      <c r="F106" s="186"/>
      <c r="G106" s="187"/>
      <c r="I106" s="116"/>
      <c r="J106" s="116"/>
      <c r="K106" s="116"/>
      <c r="M106" s="116"/>
      <c r="N106" s="116"/>
      <c r="O106" s="116"/>
      <c r="Q106" s="116"/>
      <c r="R106" s="116"/>
      <c r="S106" s="116"/>
      <c r="U106" s="116"/>
      <c r="V106" s="116"/>
      <c r="W106" s="116"/>
      <c r="Y106" s="116"/>
      <c r="Z106" s="116"/>
      <c r="AA106" s="116"/>
      <c r="AC106" s="116"/>
      <c r="AD106" s="116"/>
      <c r="AE106" s="116"/>
      <c r="AG106" s="116"/>
      <c r="AH106" s="116"/>
      <c r="AI106" s="116"/>
    </row>
    <row r="107">
      <c r="A107" s="180"/>
      <c r="B107" s="82"/>
      <c r="C107" s="82"/>
      <c r="E107" s="185"/>
      <c r="F107" s="186"/>
      <c r="G107" s="187"/>
      <c r="I107" s="116"/>
      <c r="J107" s="116"/>
      <c r="K107" s="116"/>
      <c r="M107" s="116"/>
      <c r="N107" s="116"/>
      <c r="O107" s="116"/>
      <c r="Q107" s="116"/>
      <c r="R107" s="116"/>
      <c r="S107" s="116"/>
      <c r="U107" s="116"/>
      <c r="V107" s="116"/>
      <c r="W107" s="116"/>
      <c r="Y107" s="116"/>
      <c r="Z107" s="116"/>
      <c r="AA107" s="116"/>
      <c r="AC107" s="116"/>
      <c r="AD107" s="116"/>
      <c r="AE107" s="116"/>
      <c r="AG107" s="116"/>
      <c r="AH107" s="116"/>
      <c r="AI107" s="116"/>
    </row>
    <row r="108">
      <c r="A108" s="180"/>
      <c r="B108" s="82"/>
      <c r="C108" s="82"/>
      <c r="E108" s="185"/>
      <c r="F108" s="186"/>
      <c r="G108" s="187"/>
      <c r="I108" s="116"/>
      <c r="J108" s="116"/>
      <c r="K108" s="116"/>
      <c r="M108" s="116"/>
      <c r="N108" s="116"/>
      <c r="O108" s="116"/>
      <c r="Q108" s="116"/>
      <c r="R108" s="116"/>
      <c r="S108" s="116"/>
      <c r="U108" s="116"/>
      <c r="V108" s="116"/>
      <c r="W108" s="116"/>
      <c r="Y108" s="116"/>
      <c r="Z108" s="116"/>
      <c r="AA108" s="116"/>
      <c r="AC108" s="116"/>
      <c r="AD108" s="116"/>
      <c r="AE108" s="116"/>
      <c r="AG108" s="116"/>
      <c r="AH108" s="116"/>
      <c r="AI108" s="116"/>
    </row>
    <row r="109">
      <c r="A109" s="180"/>
      <c r="B109" s="82"/>
      <c r="C109" s="82"/>
      <c r="E109" s="185"/>
      <c r="F109" s="186"/>
      <c r="G109" s="187"/>
      <c r="I109" s="116"/>
      <c r="J109" s="116"/>
      <c r="K109" s="116"/>
      <c r="M109" s="116"/>
      <c r="N109" s="116"/>
      <c r="O109" s="116"/>
      <c r="Q109" s="116"/>
      <c r="R109" s="116"/>
      <c r="S109" s="116"/>
      <c r="U109" s="116"/>
      <c r="V109" s="116"/>
      <c r="W109" s="116"/>
      <c r="Y109" s="116"/>
      <c r="Z109" s="116"/>
      <c r="AA109" s="116"/>
      <c r="AC109" s="116"/>
      <c r="AD109" s="116"/>
      <c r="AE109" s="116"/>
      <c r="AG109" s="116"/>
      <c r="AH109" s="116"/>
      <c r="AI109" s="116"/>
    </row>
    <row r="110">
      <c r="A110" s="180"/>
      <c r="B110" s="82"/>
      <c r="C110" s="82"/>
      <c r="E110" s="185"/>
      <c r="F110" s="186"/>
      <c r="G110" s="187"/>
      <c r="I110" s="116"/>
      <c r="J110" s="116"/>
      <c r="K110" s="116"/>
      <c r="M110" s="116"/>
      <c r="N110" s="116"/>
      <c r="O110" s="116"/>
      <c r="Q110" s="116"/>
      <c r="R110" s="116"/>
      <c r="S110" s="116"/>
      <c r="U110" s="116"/>
      <c r="V110" s="116"/>
      <c r="W110" s="116"/>
      <c r="Y110" s="116"/>
      <c r="Z110" s="116"/>
      <c r="AA110" s="116"/>
      <c r="AC110" s="116"/>
      <c r="AD110" s="116"/>
      <c r="AE110" s="116"/>
      <c r="AG110" s="116"/>
      <c r="AH110" s="116"/>
      <c r="AI110" s="116"/>
    </row>
    <row r="111">
      <c r="A111" s="180"/>
      <c r="B111" s="82"/>
      <c r="C111" s="82"/>
      <c r="E111" s="185"/>
      <c r="F111" s="186"/>
      <c r="G111" s="187"/>
      <c r="I111" s="116"/>
      <c r="J111" s="116"/>
      <c r="K111" s="116"/>
      <c r="M111" s="116"/>
      <c r="N111" s="116"/>
      <c r="O111" s="116"/>
      <c r="Q111" s="116"/>
      <c r="R111" s="116"/>
      <c r="S111" s="116"/>
      <c r="U111" s="116"/>
      <c r="V111" s="116"/>
      <c r="W111" s="116"/>
      <c r="Y111" s="116"/>
      <c r="Z111" s="116"/>
      <c r="AA111" s="116"/>
      <c r="AC111" s="116"/>
      <c r="AD111" s="116"/>
      <c r="AE111" s="116"/>
      <c r="AG111" s="116"/>
      <c r="AH111" s="116"/>
      <c r="AI111" s="116"/>
    </row>
    <row r="112">
      <c r="A112" s="180"/>
      <c r="B112" s="82"/>
      <c r="C112" s="82"/>
      <c r="E112" s="185"/>
      <c r="F112" s="186"/>
      <c r="G112" s="187"/>
      <c r="I112" s="116"/>
      <c r="J112" s="116"/>
      <c r="K112" s="116"/>
      <c r="M112" s="116"/>
      <c r="N112" s="116"/>
      <c r="O112" s="116"/>
      <c r="Q112" s="116"/>
      <c r="R112" s="116"/>
      <c r="S112" s="116"/>
      <c r="U112" s="116"/>
      <c r="V112" s="116"/>
      <c r="W112" s="116"/>
      <c r="Y112" s="116"/>
      <c r="Z112" s="116"/>
      <c r="AA112" s="116"/>
      <c r="AC112" s="116"/>
      <c r="AD112" s="116"/>
      <c r="AE112" s="116"/>
      <c r="AG112" s="116"/>
      <c r="AH112" s="116"/>
      <c r="AI112" s="116"/>
    </row>
    <row r="113">
      <c r="A113" s="180"/>
      <c r="B113" s="82"/>
      <c r="C113" s="82"/>
      <c r="E113" s="185"/>
      <c r="F113" s="186"/>
      <c r="G113" s="187"/>
      <c r="I113" s="116"/>
      <c r="J113" s="116"/>
      <c r="K113" s="116"/>
      <c r="M113" s="116"/>
      <c r="N113" s="116"/>
      <c r="O113" s="116"/>
      <c r="Q113" s="116"/>
      <c r="R113" s="116"/>
      <c r="S113" s="116"/>
      <c r="U113" s="116"/>
      <c r="V113" s="116"/>
      <c r="W113" s="116"/>
      <c r="Y113" s="116"/>
      <c r="Z113" s="116"/>
      <c r="AA113" s="116"/>
      <c r="AC113" s="116"/>
      <c r="AD113" s="116"/>
      <c r="AE113" s="116"/>
      <c r="AG113" s="116"/>
      <c r="AH113" s="116"/>
      <c r="AI113" s="116"/>
    </row>
    <row r="114">
      <c r="A114" s="180"/>
      <c r="B114" s="82"/>
      <c r="C114" s="82"/>
      <c r="E114" s="185"/>
      <c r="F114" s="186"/>
      <c r="G114" s="187"/>
      <c r="I114" s="116"/>
      <c r="J114" s="116"/>
      <c r="K114" s="116"/>
      <c r="M114" s="116"/>
      <c r="N114" s="116"/>
      <c r="O114" s="116"/>
      <c r="Q114" s="116"/>
      <c r="R114" s="116"/>
      <c r="S114" s="116"/>
      <c r="U114" s="116"/>
      <c r="V114" s="116"/>
      <c r="W114" s="116"/>
      <c r="Y114" s="116"/>
      <c r="Z114" s="116"/>
      <c r="AA114" s="116"/>
      <c r="AC114" s="116"/>
      <c r="AD114" s="116"/>
      <c r="AE114" s="116"/>
      <c r="AG114" s="116"/>
      <c r="AH114" s="116"/>
      <c r="AI114" s="116"/>
    </row>
    <row r="115">
      <c r="A115" s="180"/>
      <c r="B115" s="82"/>
      <c r="C115" s="82"/>
      <c r="E115" s="185"/>
      <c r="F115" s="186"/>
      <c r="G115" s="187"/>
      <c r="I115" s="116"/>
      <c r="J115" s="116"/>
      <c r="K115" s="116"/>
      <c r="M115" s="116"/>
      <c r="N115" s="116"/>
      <c r="O115" s="116"/>
      <c r="Q115" s="116"/>
      <c r="R115" s="116"/>
      <c r="S115" s="116"/>
      <c r="U115" s="116"/>
      <c r="V115" s="116"/>
      <c r="W115" s="116"/>
      <c r="Y115" s="116"/>
      <c r="Z115" s="116"/>
      <c r="AA115" s="116"/>
      <c r="AC115" s="116"/>
      <c r="AD115" s="116"/>
      <c r="AE115" s="116"/>
      <c r="AG115" s="116"/>
      <c r="AH115" s="116"/>
      <c r="AI115" s="116"/>
    </row>
    <row r="116">
      <c r="A116" s="189" t="s">
        <v>932</v>
      </c>
      <c r="B116" s="21"/>
      <c r="C116" s="116"/>
      <c r="E116" s="189" t="s">
        <v>932</v>
      </c>
      <c r="F116" s="21"/>
      <c r="G116" s="116">
        <f>SUM(G90:G102)</f>
        <v>0</v>
      </c>
      <c r="I116" s="189" t="s">
        <v>932</v>
      </c>
      <c r="J116" s="21"/>
      <c r="K116" s="116">
        <f>SUM(K90:K106)</f>
        <v>0</v>
      </c>
      <c r="M116" s="189" t="s">
        <v>932</v>
      </c>
      <c r="N116" s="21"/>
      <c r="O116" s="116">
        <f>SUM(O90:O99)</f>
        <v>-133875</v>
      </c>
      <c r="Q116" s="189" t="s">
        <v>932</v>
      </c>
      <c r="R116" s="21"/>
      <c r="S116" s="116"/>
      <c r="U116" s="189" t="s">
        <v>932</v>
      </c>
      <c r="V116" s="21"/>
      <c r="W116" s="116">
        <f>SUM(W90:W102)</f>
        <v>-51355</v>
      </c>
      <c r="Y116" s="189" t="s">
        <v>932</v>
      </c>
      <c r="Z116" s="21"/>
      <c r="AA116" s="116">
        <f>SUM(AA90:AA101)</f>
        <v>-13439</v>
      </c>
      <c r="AC116" s="189" t="s">
        <v>932</v>
      </c>
      <c r="AD116" s="21"/>
      <c r="AE116" s="116">
        <f>SUM(AE90:AE102)</f>
        <v>0</v>
      </c>
      <c r="AF116" s="174"/>
      <c r="AG116" s="189" t="s">
        <v>932</v>
      </c>
      <c r="AH116" s="21"/>
      <c r="AI116" s="116">
        <f>SUM(AI90:AI99)</f>
        <v>0</v>
      </c>
    </row>
    <row r="119">
      <c r="Y119" s="176" t="s">
        <v>2</v>
      </c>
      <c r="Z119" s="177"/>
      <c r="AA119" s="21"/>
    </row>
    <row r="120">
      <c r="Y120" s="117" t="s">
        <v>99</v>
      </c>
      <c r="Z120" s="117" t="s">
        <v>855</v>
      </c>
      <c r="AA120" s="117" t="s">
        <v>4</v>
      </c>
    </row>
    <row r="121">
      <c r="Y121" s="82" t="s">
        <v>902</v>
      </c>
      <c r="Z121" s="82"/>
      <c r="AA121" s="82">
        <v>-13439.0</v>
      </c>
    </row>
    <row r="122">
      <c r="Y122" s="180">
        <v>45994.0</v>
      </c>
      <c r="Z122" s="82" t="s">
        <v>935</v>
      </c>
      <c r="AA122" s="82">
        <v>-1200.0</v>
      </c>
    </row>
    <row r="123">
      <c r="Y123" s="180">
        <v>46002.0</v>
      </c>
      <c r="Z123" s="82" t="s">
        <v>1016</v>
      </c>
      <c r="AA123" s="82">
        <v>-900.0</v>
      </c>
    </row>
    <row r="124">
      <c r="Y124" s="193">
        <v>46004.0</v>
      </c>
      <c r="Z124" s="82" t="s">
        <v>1017</v>
      </c>
      <c r="AA124" s="82">
        <v>-600.0</v>
      </c>
    </row>
    <row r="125">
      <c r="Y125" s="193">
        <v>46022.0</v>
      </c>
      <c r="Z125" s="82" t="s">
        <v>1018</v>
      </c>
      <c r="AA125" s="82">
        <v>-600.0</v>
      </c>
    </row>
    <row r="126">
      <c r="Y126" s="180">
        <v>45684.0</v>
      </c>
      <c r="Z126" s="82" t="s">
        <v>1019</v>
      </c>
      <c r="AA126" s="82">
        <v>-1200.0</v>
      </c>
    </row>
    <row r="127">
      <c r="Y127" s="116"/>
      <c r="Z127" s="116"/>
      <c r="AA127" s="116"/>
    </row>
    <row r="128">
      <c r="Y128" s="116"/>
      <c r="Z128" s="116"/>
      <c r="AA128" s="116"/>
    </row>
    <row r="129">
      <c r="Y129" s="116"/>
      <c r="Z129" s="116"/>
      <c r="AA129" s="116"/>
    </row>
    <row r="130">
      <c r="Y130" s="116"/>
      <c r="Z130" s="116"/>
      <c r="AA130" s="116"/>
    </row>
    <row r="131">
      <c r="Y131" s="116"/>
      <c r="Z131" s="116"/>
      <c r="AA131" s="116"/>
    </row>
    <row r="132">
      <c r="Y132" s="116"/>
      <c r="Z132" s="116"/>
      <c r="AA132" s="116"/>
    </row>
    <row r="133">
      <c r="Y133" s="116"/>
      <c r="Z133" s="116"/>
      <c r="AA133" s="116"/>
    </row>
    <row r="134">
      <c r="Y134" s="116"/>
      <c r="Z134" s="116"/>
      <c r="AA134" s="116"/>
    </row>
    <row r="135">
      <c r="Y135" s="116"/>
      <c r="Z135" s="116"/>
      <c r="AA135" s="116"/>
    </row>
    <row r="136">
      <c r="Y136" s="116"/>
      <c r="Z136" s="116"/>
      <c r="AA136" s="116"/>
    </row>
    <row r="137">
      <c r="Y137" s="116"/>
      <c r="Z137" s="116"/>
      <c r="AA137" s="116"/>
    </row>
    <row r="138">
      <c r="Y138" s="116"/>
      <c r="Z138" s="116"/>
      <c r="AA138" s="116"/>
    </row>
    <row r="139">
      <c r="Y139" s="116"/>
      <c r="Z139" s="116"/>
      <c r="AA139" s="116"/>
    </row>
    <row r="140">
      <c r="Y140" s="116"/>
      <c r="Z140" s="116"/>
      <c r="AA140" s="116"/>
    </row>
    <row r="141">
      <c r="Y141" s="116"/>
      <c r="Z141" s="116"/>
      <c r="AA141" s="116"/>
    </row>
    <row r="142">
      <c r="Y142" s="116"/>
      <c r="Z142" s="116"/>
      <c r="AA142" s="116"/>
    </row>
    <row r="143">
      <c r="Y143" s="116"/>
      <c r="Z143" s="116"/>
      <c r="AA143" s="116"/>
    </row>
    <row r="144">
      <c r="Y144" s="116"/>
      <c r="Z144" s="116"/>
      <c r="AA144" s="116"/>
    </row>
    <row r="145">
      <c r="Y145" s="116"/>
      <c r="Z145" s="116"/>
      <c r="AA145" s="116"/>
    </row>
    <row r="146">
      <c r="Y146" s="116"/>
      <c r="Z146" s="116"/>
      <c r="AA146" s="116"/>
    </row>
    <row r="147">
      <c r="Y147" s="189" t="s">
        <v>932</v>
      </c>
      <c r="Z147" s="21"/>
      <c r="AA147" s="116">
        <f>SUM(AA121:AA132)</f>
        <v>-17939</v>
      </c>
    </row>
  </sheetData>
  <mergeCells count="74">
    <mergeCell ref="AC48:AD48"/>
    <mergeCell ref="AG48:AH48"/>
    <mergeCell ref="A48:B48"/>
    <mergeCell ref="E48:F48"/>
    <mergeCell ref="I48:J48"/>
    <mergeCell ref="M48:N48"/>
    <mergeCell ref="Q48:R48"/>
    <mergeCell ref="U48:V48"/>
    <mergeCell ref="Y48:Z48"/>
    <mergeCell ref="AC54:AE54"/>
    <mergeCell ref="AG54:AI54"/>
    <mergeCell ref="A54:C54"/>
    <mergeCell ref="E54:G54"/>
    <mergeCell ref="I54:K54"/>
    <mergeCell ref="M54:O54"/>
    <mergeCell ref="Q54:S54"/>
    <mergeCell ref="U54:W54"/>
    <mergeCell ref="Y54:AA54"/>
    <mergeCell ref="AC82:AD82"/>
    <mergeCell ref="AG82:AH82"/>
    <mergeCell ref="A82:B82"/>
    <mergeCell ref="E82:F82"/>
    <mergeCell ref="I82:J82"/>
    <mergeCell ref="M82:N82"/>
    <mergeCell ref="Q82:R82"/>
    <mergeCell ref="U82:V82"/>
    <mergeCell ref="Y82:Z82"/>
    <mergeCell ref="AC88:AE88"/>
    <mergeCell ref="AG88:AI88"/>
    <mergeCell ref="A88:C88"/>
    <mergeCell ref="E88:G88"/>
    <mergeCell ref="I88:K88"/>
    <mergeCell ref="M88:O88"/>
    <mergeCell ref="Q88:S88"/>
    <mergeCell ref="U88:W88"/>
    <mergeCell ref="Y88:AA88"/>
    <mergeCell ref="AC5:AE5"/>
    <mergeCell ref="AG5:AI5"/>
    <mergeCell ref="A5:C5"/>
    <mergeCell ref="E5:G5"/>
    <mergeCell ref="I5:K5"/>
    <mergeCell ref="M5:O5"/>
    <mergeCell ref="Q5:S5"/>
    <mergeCell ref="U5:W5"/>
    <mergeCell ref="Y5:AA5"/>
    <mergeCell ref="AC20:AD20"/>
    <mergeCell ref="AG20:AH20"/>
    <mergeCell ref="A20:B20"/>
    <mergeCell ref="E20:F20"/>
    <mergeCell ref="I20:J20"/>
    <mergeCell ref="M20:N20"/>
    <mergeCell ref="Q20:R20"/>
    <mergeCell ref="U20:V20"/>
    <mergeCell ref="Y20:Z20"/>
    <mergeCell ref="AC29:AE29"/>
    <mergeCell ref="AG29:AI29"/>
    <mergeCell ref="A29:C29"/>
    <mergeCell ref="E29:G29"/>
    <mergeCell ref="I29:K29"/>
    <mergeCell ref="M29:O29"/>
    <mergeCell ref="Q29:S29"/>
    <mergeCell ref="U29:W29"/>
    <mergeCell ref="Y29:AA29"/>
    <mergeCell ref="AC116:AD116"/>
    <mergeCell ref="AG116:AH116"/>
    <mergeCell ref="Y119:AA119"/>
    <mergeCell ref="Y147:Z147"/>
    <mergeCell ref="A116:B116"/>
    <mergeCell ref="E116:F116"/>
    <mergeCell ref="I116:J116"/>
    <mergeCell ref="M116:N116"/>
    <mergeCell ref="Q116:R116"/>
    <mergeCell ref="U116:V116"/>
    <mergeCell ref="Y116:Z1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5.33"/>
    <col customWidth="1" min="2" max="2" width="32.0"/>
    <col customWidth="1" min="3" max="3" width="21.0"/>
    <col customWidth="1" min="4" max="4" width="28.67"/>
  </cols>
  <sheetData>
    <row r="1">
      <c r="A1" s="1" t="s">
        <v>1020</v>
      </c>
      <c r="B1" s="14"/>
      <c r="C1" s="2"/>
    </row>
    <row r="2">
      <c r="A2" s="15" t="s">
        <v>99</v>
      </c>
      <c r="B2" s="15" t="s">
        <v>3</v>
      </c>
      <c r="C2" s="15" t="s">
        <v>1021</v>
      </c>
    </row>
    <row r="3">
      <c r="A3" s="194">
        <v>45323.0</v>
      </c>
      <c r="B3" s="195" t="s">
        <v>1022</v>
      </c>
      <c r="C3" s="196">
        <v>6182.0</v>
      </c>
      <c r="D3" s="33" t="s">
        <v>1023</v>
      </c>
    </row>
    <row r="4">
      <c r="A4" s="197">
        <v>45364.0</v>
      </c>
      <c r="B4" s="198" t="s">
        <v>1024</v>
      </c>
      <c r="C4" s="199">
        <v>8500.0</v>
      </c>
      <c r="D4" s="174" t="s">
        <v>1025</v>
      </c>
    </row>
    <row r="5">
      <c r="A5" s="194">
        <v>45364.0</v>
      </c>
      <c r="B5" s="195" t="s">
        <v>1026</v>
      </c>
      <c r="C5" s="196">
        <v>7180.0</v>
      </c>
      <c r="D5" s="33" t="s">
        <v>1027</v>
      </c>
    </row>
    <row r="6">
      <c r="A6" s="197">
        <v>45372.0</v>
      </c>
      <c r="B6" s="198" t="s">
        <v>1028</v>
      </c>
      <c r="C6" s="199">
        <v>27500.0</v>
      </c>
      <c r="D6" s="174" t="s">
        <v>1029</v>
      </c>
    </row>
    <row r="7">
      <c r="A7" s="197">
        <v>45377.0</v>
      </c>
      <c r="B7" s="198" t="s">
        <v>1030</v>
      </c>
      <c r="C7" s="199">
        <v>3000.0</v>
      </c>
      <c r="D7" s="174" t="s">
        <v>1031</v>
      </c>
    </row>
    <row r="8">
      <c r="A8" s="194">
        <v>45404.0</v>
      </c>
      <c r="B8" s="195" t="s">
        <v>1032</v>
      </c>
      <c r="C8" s="196">
        <v>6000.0</v>
      </c>
      <c r="D8" s="33" t="s">
        <v>1033</v>
      </c>
    </row>
    <row r="9">
      <c r="A9" s="194">
        <v>45406.0</v>
      </c>
      <c r="B9" s="195" t="s">
        <v>858</v>
      </c>
      <c r="C9" s="196">
        <v>11800.0</v>
      </c>
      <c r="D9" s="33" t="s">
        <v>1033</v>
      </c>
    </row>
    <row r="10">
      <c r="A10" s="197">
        <v>45413.0</v>
      </c>
      <c r="B10" s="200" t="s">
        <v>1034</v>
      </c>
      <c r="C10" s="199">
        <v>11600.0</v>
      </c>
      <c r="D10" s="174" t="s">
        <v>1035</v>
      </c>
    </row>
    <row r="11">
      <c r="A11" s="197">
        <v>45433.0</v>
      </c>
      <c r="B11" s="198" t="s">
        <v>1036</v>
      </c>
      <c r="C11" s="199">
        <v>9300.0</v>
      </c>
      <c r="D11" s="174" t="s">
        <v>1037</v>
      </c>
    </row>
    <row r="12">
      <c r="A12" s="16">
        <v>45440.0</v>
      </c>
      <c r="B12" s="17" t="s">
        <v>1038</v>
      </c>
      <c r="C12" s="18">
        <v>3718.0</v>
      </c>
      <c r="D12" s="33" t="s">
        <v>1039</v>
      </c>
    </row>
    <row r="13">
      <c r="A13" s="16">
        <v>45475.0</v>
      </c>
      <c r="B13" s="17" t="s">
        <v>1040</v>
      </c>
      <c r="C13" s="18">
        <v>5000.0</v>
      </c>
    </row>
    <row r="14">
      <c r="A14" s="16">
        <v>45491.0</v>
      </c>
      <c r="B14" s="17" t="s">
        <v>1041</v>
      </c>
      <c r="C14" s="18">
        <v>3000.0</v>
      </c>
    </row>
    <row r="15">
      <c r="A15" s="16">
        <v>45504.0</v>
      </c>
      <c r="B15" s="17" t="s">
        <v>1042</v>
      </c>
      <c r="C15" s="18">
        <v>3000.0</v>
      </c>
    </row>
    <row r="16">
      <c r="A16" s="16">
        <v>45505.0</v>
      </c>
      <c r="B16" s="17" t="s">
        <v>1043</v>
      </c>
      <c r="C16" s="18">
        <v>2300.0</v>
      </c>
    </row>
    <row r="17">
      <c r="A17" s="16">
        <v>45505.0</v>
      </c>
      <c r="B17" s="17" t="s">
        <v>1044</v>
      </c>
      <c r="C17" s="18">
        <v>650.0</v>
      </c>
    </row>
    <row r="18">
      <c r="A18" s="201">
        <v>45533.0</v>
      </c>
      <c r="B18" s="202" t="s">
        <v>1045</v>
      </c>
      <c r="C18" s="203">
        <v>5000.0</v>
      </c>
    </row>
    <row r="19">
      <c r="A19" s="16"/>
      <c r="B19" s="17"/>
      <c r="C19" s="18"/>
    </row>
    <row r="20">
      <c r="A20" s="20" t="s">
        <v>43</v>
      </c>
      <c r="B20" s="21"/>
      <c r="C20" s="22">
        <f>SUM(C3:C19)</f>
        <v>113730</v>
      </c>
    </row>
  </sheetData>
  <mergeCells count="2">
    <mergeCell ref="A1:C1"/>
    <mergeCell ref="A20:B2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0.33"/>
    <col customWidth="1" min="2" max="2" width="20.67"/>
    <col customWidth="1" min="3" max="3" width="16.56"/>
  </cols>
  <sheetData>
    <row r="1">
      <c r="A1" s="1" t="s">
        <v>1046</v>
      </c>
      <c r="B1" s="14"/>
      <c r="C1" s="2"/>
    </row>
    <row r="2">
      <c r="A2" s="15" t="s">
        <v>99</v>
      </c>
      <c r="B2" s="15" t="s">
        <v>3</v>
      </c>
      <c r="C2" s="15" t="s">
        <v>1021</v>
      </c>
    </row>
    <row r="3">
      <c r="A3" s="16">
        <v>45324.0</v>
      </c>
      <c r="B3" s="204" t="s">
        <v>1047</v>
      </c>
      <c r="C3" s="18">
        <v>500.0</v>
      </c>
    </row>
    <row r="4">
      <c r="A4" s="16"/>
      <c r="B4" s="17"/>
      <c r="C4" s="18"/>
    </row>
    <row r="5">
      <c r="A5" s="16"/>
      <c r="B5" s="17"/>
      <c r="C5" s="18"/>
    </row>
    <row r="6">
      <c r="A6" s="16"/>
      <c r="B6" s="17"/>
      <c r="C6" s="18"/>
    </row>
    <row r="7">
      <c r="A7" s="16"/>
      <c r="B7" s="17"/>
      <c r="C7" s="18"/>
    </row>
    <row r="8">
      <c r="A8" s="16"/>
      <c r="B8" s="17"/>
      <c r="C8" s="18"/>
    </row>
    <row r="9">
      <c r="A9" s="16"/>
      <c r="B9" s="17"/>
      <c r="C9" s="18"/>
    </row>
    <row r="10">
      <c r="A10" s="16"/>
      <c r="B10" s="19"/>
      <c r="C10" s="18"/>
    </row>
    <row r="11">
      <c r="A11" s="16"/>
      <c r="B11" s="17"/>
      <c r="C11" s="18"/>
    </row>
    <row r="12">
      <c r="A12" s="16"/>
      <c r="B12" s="17"/>
      <c r="C12" s="18"/>
    </row>
    <row r="13">
      <c r="A13" s="16"/>
      <c r="B13" s="17"/>
      <c r="C13" s="18"/>
    </row>
    <row r="14">
      <c r="A14" s="16"/>
      <c r="B14" s="17"/>
      <c r="C14" s="18"/>
    </row>
    <row r="15">
      <c r="A15" s="16"/>
      <c r="B15" s="17"/>
      <c r="C15" s="18"/>
    </row>
    <row r="16">
      <c r="A16" s="16"/>
      <c r="B16" s="17"/>
      <c r="C16" s="18"/>
    </row>
    <row r="17">
      <c r="A17" s="16"/>
      <c r="B17" s="17"/>
      <c r="C17" s="18"/>
    </row>
    <row r="18">
      <c r="A18" s="16"/>
      <c r="B18" s="17"/>
      <c r="C18" s="18"/>
    </row>
    <row r="19">
      <c r="A19" s="16"/>
      <c r="B19" s="17"/>
      <c r="C19" s="18"/>
    </row>
    <row r="20">
      <c r="A20" s="20" t="s">
        <v>43</v>
      </c>
      <c r="B20" s="21"/>
      <c r="C20" s="22">
        <f>SUM(C3:C16)</f>
        <v>500</v>
      </c>
    </row>
  </sheetData>
  <mergeCells count="2">
    <mergeCell ref="A1:C1"/>
    <mergeCell ref="A20:B2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9.22"/>
    <col customWidth="1" min="2" max="2" width="22.78"/>
    <col customWidth="1" min="3" max="3" width="23.89"/>
    <col customWidth="1" min="4" max="4" width="20.78"/>
  </cols>
  <sheetData>
    <row r="1">
      <c r="A1" s="205" t="s">
        <v>1048</v>
      </c>
      <c r="B1" s="205" t="s">
        <v>1049</v>
      </c>
      <c r="C1" s="205" t="s">
        <v>1050</v>
      </c>
      <c r="D1" s="205" t="s">
        <v>1049</v>
      </c>
    </row>
    <row r="2">
      <c r="A2" s="206" t="s">
        <v>166</v>
      </c>
      <c r="B2" s="207">
        <v>0.01</v>
      </c>
      <c r="C2" s="206" t="s">
        <v>165</v>
      </c>
      <c r="D2" s="116"/>
    </row>
    <row r="3">
      <c r="A3" s="208" t="s">
        <v>153</v>
      </c>
      <c r="B3" s="209" t="s">
        <v>1051</v>
      </c>
      <c r="C3" s="206" t="s">
        <v>152</v>
      </c>
      <c r="D3" s="116"/>
    </row>
    <row r="4">
      <c r="A4" s="210"/>
      <c r="B4" s="210"/>
      <c r="C4" s="206" t="s">
        <v>1052</v>
      </c>
      <c r="D4" s="116"/>
    </row>
    <row r="5">
      <c r="A5" s="211" t="s">
        <v>190</v>
      </c>
      <c r="B5" s="212">
        <v>0.01</v>
      </c>
      <c r="C5" s="206" t="s">
        <v>189</v>
      </c>
      <c r="D5" s="116"/>
    </row>
    <row r="6">
      <c r="A6" s="210"/>
      <c r="B6" s="210"/>
      <c r="C6" s="206" t="s">
        <v>305</v>
      </c>
      <c r="D6" s="116"/>
    </row>
    <row r="7">
      <c r="A7" s="206" t="s">
        <v>201</v>
      </c>
      <c r="B7" s="207">
        <v>0.01</v>
      </c>
      <c r="C7" s="206" t="s">
        <v>200</v>
      </c>
      <c r="D7" s="116"/>
    </row>
    <row r="8">
      <c r="A8" s="208" t="s">
        <v>237</v>
      </c>
      <c r="B8" s="212">
        <v>0.01</v>
      </c>
      <c r="C8" s="206" t="s">
        <v>1053</v>
      </c>
      <c r="D8" s="116"/>
    </row>
    <row r="9">
      <c r="A9" s="213"/>
      <c r="B9" s="213"/>
      <c r="C9" s="206" t="s">
        <v>275</v>
      </c>
      <c r="D9" s="116"/>
    </row>
    <row r="10">
      <c r="A10" s="210"/>
      <c r="B10" s="210"/>
      <c r="C10" s="206" t="s">
        <v>287</v>
      </c>
      <c r="D10" s="116"/>
    </row>
    <row r="11">
      <c r="A11" s="206" t="s">
        <v>249</v>
      </c>
      <c r="B11" s="207">
        <v>0.01</v>
      </c>
      <c r="C11" s="214"/>
      <c r="D11" s="116"/>
    </row>
    <row r="12">
      <c r="A12" s="206" t="s">
        <v>203</v>
      </c>
      <c r="B12" s="207">
        <v>0.01</v>
      </c>
      <c r="C12" s="206" t="s">
        <v>256</v>
      </c>
      <c r="D12" s="116"/>
    </row>
    <row r="13">
      <c r="A13" s="206" t="s">
        <v>283</v>
      </c>
      <c r="B13" s="207">
        <v>0.01</v>
      </c>
      <c r="C13" s="215" t="s">
        <v>282</v>
      </c>
      <c r="D13" s="116"/>
    </row>
    <row r="14">
      <c r="A14" s="206" t="s">
        <v>173</v>
      </c>
      <c r="B14" s="207">
        <v>0.01</v>
      </c>
      <c r="C14" s="215" t="s">
        <v>237</v>
      </c>
      <c r="D14" s="116"/>
    </row>
    <row r="15">
      <c r="A15" s="206" t="s">
        <v>325</v>
      </c>
      <c r="B15" s="207">
        <v>0.01</v>
      </c>
      <c r="C15" s="215" t="s">
        <v>324</v>
      </c>
      <c r="D15" s="116"/>
    </row>
    <row r="16">
      <c r="A16" s="206" t="s">
        <v>343</v>
      </c>
      <c r="B16" s="207">
        <v>0.01</v>
      </c>
      <c r="C16" s="215" t="s">
        <v>342</v>
      </c>
      <c r="D16" s="116"/>
    </row>
    <row r="17">
      <c r="A17" s="206" t="s">
        <v>184</v>
      </c>
      <c r="B17" s="207">
        <v>0.01</v>
      </c>
      <c r="C17" s="215" t="s">
        <v>1054</v>
      </c>
      <c r="D17" s="116"/>
    </row>
    <row r="18">
      <c r="A18" s="208" t="s">
        <v>1055</v>
      </c>
      <c r="B18" s="216"/>
      <c r="C18" s="206" t="s">
        <v>173</v>
      </c>
      <c r="D18" s="116"/>
    </row>
    <row r="19">
      <c r="A19" s="213"/>
      <c r="B19" s="213"/>
      <c r="C19" s="206" t="s">
        <v>181</v>
      </c>
      <c r="D19" s="116"/>
    </row>
    <row r="20">
      <c r="A20" s="213"/>
      <c r="B20" s="213"/>
      <c r="C20" s="215" t="s">
        <v>203</v>
      </c>
      <c r="D20" s="116"/>
    </row>
    <row r="21">
      <c r="A21" s="213"/>
      <c r="B21" s="213"/>
      <c r="C21" s="215" t="s">
        <v>262</v>
      </c>
      <c r="D21" s="116"/>
    </row>
    <row r="22">
      <c r="A22" s="213"/>
      <c r="B22" s="213"/>
      <c r="C22" s="215" t="s">
        <v>297</v>
      </c>
      <c r="D22" s="116"/>
    </row>
    <row r="23">
      <c r="A23" s="213"/>
      <c r="B23" s="213"/>
      <c r="C23" s="215" t="s">
        <v>329</v>
      </c>
      <c r="D23" s="116"/>
    </row>
    <row r="24">
      <c r="A24" s="210"/>
      <c r="B24" s="210"/>
      <c r="C24" s="217" t="s">
        <v>360</v>
      </c>
      <c r="D24" s="216"/>
    </row>
    <row r="25">
      <c r="A25" s="218"/>
      <c r="B25" s="218"/>
      <c r="C25" s="218"/>
      <c r="D25" s="218"/>
    </row>
  </sheetData>
  <mergeCells count="8">
    <mergeCell ref="A3:A4"/>
    <mergeCell ref="B3:B4"/>
    <mergeCell ref="A5:A6"/>
    <mergeCell ref="B5:B6"/>
    <mergeCell ref="A8:A10"/>
    <mergeCell ref="B8:B10"/>
    <mergeCell ref="A18:A24"/>
    <mergeCell ref="B18:B24"/>
  </mergeCells>
  <drawing r:id="rId1"/>
</worksheet>
</file>